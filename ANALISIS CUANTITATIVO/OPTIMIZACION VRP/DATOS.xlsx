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seg\Downloads\PROYECTO_HEUR\"/>
    </mc:Choice>
  </mc:AlternateContent>
  <xr:revisionPtr revIDLastSave="0" documentId="13_ncr:1_{481E0591-DD83-4561-84EA-2F2EEB7CB254}" xr6:coauthVersionLast="47" xr6:coauthVersionMax="47" xr10:uidLastSave="{00000000-0000-0000-0000-000000000000}"/>
  <bookViews>
    <workbookView xWindow="-108" yWindow="-108" windowWidth="23256" windowHeight="12576" activeTab="3" xr2:uid="{B5AC638C-3EEC-45AB-86E3-EBE22DD6A3CD}"/>
  </bookViews>
  <sheets>
    <sheet name="Pacientes" sheetId="1" r:id="rId1"/>
    <sheet name="eco capital" sheetId="2" r:id="rId2"/>
    <sheet name="deposito central" sheetId="3" r:id="rId3"/>
    <sheet name="demanda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2" i="7" l="1"/>
  <c r="D102" i="7"/>
  <c r="E102" i="7"/>
  <c r="F102" i="7"/>
  <c r="C103" i="7"/>
  <c r="D103" i="7"/>
  <c r="E103" i="7"/>
  <c r="F103" i="7"/>
  <c r="C104" i="7"/>
  <c r="D104" i="7"/>
  <c r="E104" i="7"/>
  <c r="F104" i="7"/>
  <c r="C105" i="7"/>
  <c r="D105" i="7"/>
  <c r="E105" i="7"/>
  <c r="F105" i="7"/>
  <c r="C106" i="7"/>
  <c r="D106" i="7"/>
  <c r="E106" i="7"/>
  <c r="F106" i="7"/>
  <c r="B103" i="7"/>
  <c r="G103" i="7" s="1"/>
  <c r="B104" i="7"/>
  <c r="G104" i="7" s="1"/>
  <c r="B105" i="7"/>
  <c r="G105" i="7" s="1"/>
  <c r="B106" i="7"/>
  <c r="G106" i="7" s="1"/>
  <c r="B102" i="7"/>
  <c r="G102" i="7" s="1"/>
  <c r="G3" i="7"/>
  <c r="L3" i="7" s="1"/>
  <c r="H3" i="7"/>
  <c r="I3" i="7"/>
  <c r="J3" i="7"/>
  <c r="K3" i="7"/>
  <c r="G4" i="7"/>
  <c r="L4" i="7" s="1"/>
  <c r="H4" i="7"/>
  <c r="I4" i="7"/>
  <c r="J4" i="7"/>
  <c r="K4" i="7"/>
  <c r="G5" i="7"/>
  <c r="L5" i="7" s="1"/>
  <c r="H5" i="7"/>
  <c r="I5" i="7"/>
  <c r="J5" i="7"/>
  <c r="K5" i="7"/>
  <c r="G6" i="7"/>
  <c r="L6" i="7" s="1"/>
  <c r="H6" i="7"/>
  <c r="I6" i="7"/>
  <c r="J6" i="7"/>
  <c r="K6" i="7"/>
  <c r="G7" i="7"/>
  <c r="L7" i="7" s="1"/>
  <c r="H7" i="7"/>
  <c r="I7" i="7"/>
  <c r="J7" i="7"/>
  <c r="K7" i="7"/>
  <c r="G8" i="7"/>
  <c r="L8" i="7" s="1"/>
  <c r="H8" i="7"/>
  <c r="I8" i="7"/>
  <c r="J8" i="7"/>
  <c r="K8" i="7"/>
  <c r="G9" i="7"/>
  <c r="L9" i="7" s="1"/>
  <c r="H9" i="7"/>
  <c r="I9" i="7"/>
  <c r="J9" i="7"/>
  <c r="K9" i="7"/>
  <c r="G10" i="7"/>
  <c r="L10" i="7" s="1"/>
  <c r="H10" i="7"/>
  <c r="I10" i="7"/>
  <c r="J10" i="7"/>
  <c r="K10" i="7"/>
  <c r="G11" i="7"/>
  <c r="L11" i="7" s="1"/>
  <c r="H11" i="7"/>
  <c r="I11" i="7"/>
  <c r="J11" i="7"/>
  <c r="K11" i="7"/>
  <c r="G12" i="7"/>
  <c r="L12" i="7" s="1"/>
  <c r="H12" i="7"/>
  <c r="I12" i="7"/>
  <c r="J12" i="7"/>
  <c r="K12" i="7"/>
  <c r="G13" i="7"/>
  <c r="L13" i="7" s="1"/>
  <c r="H13" i="7"/>
  <c r="I13" i="7"/>
  <c r="J13" i="7"/>
  <c r="K13" i="7"/>
  <c r="G14" i="7"/>
  <c r="L14" i="7" s="1"/>
  <c r="H14" i="7"/>
  <c r="I14" i="7"/>
  <c r="J14" i="7"/>
  <c r="K14" i="7"/>
  <c r="G15" i="7"/>
  <c r="L15" i="7" s="1"/>
  <c r="H15" i="7"/>
  <c r="I15" i="7"/>
  <c r="J15" i="7"/>
  <c r="K15" i="7"/>
  <c r="G16" i="7"/>
  <c r="L16" i="7" s="1"/>
  <c r="H16" i="7"/>
  <c r="I16" i="7"/>
  <c r="J16" i="7"/>
  <c r="K16" i="7"/>
  <c r="G17" i="7"/>
  <c r="L17" i="7" s="1"/>
  <c r="H17" i="7"/>
  <c r="I17" i="7"/>
  <c r="J17" i="7"/>
  <c r="K17" i="7"/>
  <c r="G18" i="7"/>
  <c r="L18" i="7" s="1"/>
  <c r="H18" i="7"/>
  <c r="I18" i="7"/>
  <c r="J18" i="7"/>
  <c r="K18" i="7"/>
  <c r="G19" i="7"/>
  <c r="L19" i="7" s="1"/>
  <c r="H19" i="7"/>
  <c r="I19" i="7"/>
  <c r="J19" i="7"/>
  <c r="K19" i="7"/>
  <c r="G20" i="7"/>
  <c r="L20" i="7" s="1"/>
  <c r="H20" i="7"/>
  <c r="I20" i="7"/>
  <c r="J20" i="7"/>
  <c r="K20" i="7"/>
  <c r="G21" i="7"/>
  <c r="L21" i="7" s="1"/>
  <c r="H21" i="7"/>
  <c r="I21" i="7"/>
  <c r="J21" i="7"/>
  <c r="K21" i="7"/>
  <c r="G22" i="7"/>
  <c r="L22" i="7" s="1"/>
  <c r="H22" i="7"/>
  <c r="I22" i="7"/>
  <c r="J22" i="7"/>
  <c r="K22" i="7"/>
  <c r="G23" i="7"/>
  <c r="L23" i="7" s="1"/>
  <c r="H23" i="7"/>
  <c r="I23" i="7"/>
  <c r="J23" i="7"/>
  <c r="K23" i="7"/>
  <c r="G24" i="7"/>
  <c r="L24" i="7" s="1"/>
  <c r="H24" i="7"/>
  <c r="I24" i="7"/>
  <c r="J24" i="7"/>
  <c r="K24" i="7"/>
  <c r="G25" i="7"/>
  <c r="L25" i="7" s="1"/>
  <c r="H25" i="7"/>
  <c r="I25" i="7"/>
  <c r="J25" i="7"/>
  <c r="K25" i="7"/>
  <c r="G26" i="7"/>
  <c r="L26" i="7" s="1"/>
  <c r="H26" i="7"/>
  <c r="I26" i="7"/>
  <c r="J26" i="7"/>
  <c r="K26" i="7"/>
  <c r="G27" i="7"/>
  <c r="L27" i="7" s="1"/>
  <c r="H27" i="7"/>
  <c r="I27" i="7"/>
  <c r="J27" i="7"/>
  <c r="K27" i="7"/>
  <c r="G28" i="7"/>
  <c r="L28" i="7" s="1"/>
  <c r="H28" i="7"/>
  <c r="I28" i="7"/>
  <c r="J28" i="7"/>
  <c r="K28" i="7"/>
  <c r="G29" i="7"/>
  <c r="L29" i="7" s="1"/>
  <c r="H29" i="7"/>
  <c r="I29" i="7"/>
  <c r="J29" i="7"/>
  <c r="K29" i="7"/>
  <c r="G30" i="7"/>
  <c r="L30" i="7" s="1"/>
  <c r="H30" i="7"/>
  <c r="I30" i="7"/>
  <c r="J30" i="7"/>
  <c r="K30" i="7"/>
  <c r="G31" i="7"/>
  <c r="L31" i="7" s="1"/>
  <c r="H31" i="7"/>
  <c r="I31" i="7"/>
  <c r="J31" i="7"/>
  <c r="K31" i="7"/>
  <c r="G32" i="7"/>
  <c r="L32" i="7" s="1"/>
  <c r="H32" i="7"/>
  <c r="I32" i="7"/>
  <c r="J32" i="7"/>
  <c r="K32" i="7"/>
  <c r="G33" i="7"/>
  <c r="L33" i="7" s="1"/>
  <c r="H33" i="7"/>
  <c r="I33" i="7"/>
  <c r="J33" i="7"/>
  <c r="K33" i="7"/>
  <c r="G34" i="7"/>
  <c r="L34" i="7" s="1"/>
  <c r="H34" i="7"/>
  <c r="I34" i="7"/>
  <c r="J34" i="7"/>
  <c r="K34" i="7"/>
  <c r="G35" i="7"/>
  <c r="L35" i="7" s="1"/>
  <c r="H35" i="7"/>
  <c r="I35" i="7"/>
  <c r="J35" i="7"/>
  <c r="K35" i="7"/>
  <c r="G36" i="7"/>
  <c r="L36" i="7" s="1"/>
  <c r="H36" i="7"/>
  <c r="I36" i="7"/>
  <c r="J36" i="7"/>
  <c r="K36" i="7"/>
  <c r="G37" i="7"/>
  <c r="L37" i="7" s="1"/>
  <c r="H37" i="7"/>
  <c r="I37" i="7"/>
  <c r="J37" i="7"/>
  <c r="K37" i="7"/>
  <c r="G38" i="7"/>
  <c r="L38" i="7" s="1"/>
  <c r="H38" i="7"/>
  <c r="I38" i="7"/>
  <c r="J38" i="7"/>
  <c r="K38" i="7"/>
  <c r="G39" i="7"/>
  <c r="L39" i="7" s="1"/>
  <c r="H39" i="7"/>
  <c r="I39" i="7"/>
  <c r="J39" i="7"/>
  <c r="K39" i="7"/>
  <c r="G40" i="7"/>
  <c r="L40" i="7" s="1"/>
  <c r="H40" i="7"/>
  <c r="I40" i="7"/>
  <c r="J40" i="7"/>
  <c r="K40" i="7"/>
  <c r="G41" i="7"/>
  <c r="L41" i="7" s="1"/>
  <c r="H41" i="7"/>
  <c r="I41" i="7"/>
  <c r="J41" i="7"/>
  <c r="K41" i="7"/>
  <c r="G42" i="7"/>
  <c r="L42" i="7" s="1"/>
  <c r="H42" i="7"/>
  <c r="I42" i="7"/>
  <c r="J42" i="7"/>
  <c r="K42" i="7"/>
  <c r="G43" i="7"/>
  <c r="L43" i="7" s="1"/>
  <c r="H43" i="7"/>
  <c r="I43" i="7"/>
  <c r="J43" i="7"/>
  <c r="K43" i="7"/>
  <c r="G44" i="7"/>
  <c r="L44" i="7" s="1"/>
  <c r="H44" i="7"/>
  <c r="I44" i="7"/>
  <c r="J44" i="7"/>
  <c r="K44" i="7"/>
  <c r="G45" i="7"/>
  <c r="L45" i="7" s="1"/>
  <c r="H45" i="7"/>
  <c r="I45" i="7"/>
  <c r="J45" i="7"/>
  <c r="K45" i="7"/>
  <c r="G46" i="7"/>
  <c r="L46" i="7" s="1"/>
  <c r="H46" i="7"/>
  <c r="I46" i="7"/>
  <c r="J46" i="7"/>
  <c r="K46" i="7"/>
  <c r="G47" i="7"/>
  <c r="L47" i="7" s="1"/>
  <c r="H47" i="7"/>
  <c r="I47" i="7"/>
  <c r="J47" i="7"/>
  <c r="K47" i="7"/>
  <c r="G48" i="7"/>
  <c r="L48" i="7" s="1"/>
  <c r="H48" i="7"/>
  <c r="I48" i="7"/>
  <c r="J48" i="7"/>
  <c r="K48" i="7"/>
  <c r="G49" i="7"/>
  <c r="L49" i="7" s="1"/>
  <c r="H49" i="7"/>
  <c r="I49" i="7"/>
  <c r="J49" i="7"/>
  <c r="K49" i="7"/>
  <c r="G50" i="7"/>
  <c r="L50" i="7" s="1"/>
  <c r="H50" i="7"/>
  <c r="I50" i="7"/>
  <c r="J50" i="7"/>
  <c r="K50" i="7"/>
  <c r="G51" i="7"/>
  <c r="L51" i="7" s="1"/>
  <c r="H51" i="7"/>
  <c r="I51" i="7"/>
  <c r="J51" i="7"/>
  <c r="K51" i="7"/>
  <c r="G52" i="7"/>
  <c r="L52" i="7" s="1"/>
  <c r="H52" i="7"/>
  <c r="I52" i="7"/>
  <c r="J52" i="7"/>
  <c r="K52" i="7"/>
  <c r="G53" i="7"/>
  <c r="L53" i="7" s="1"/>
  <c r="H53" i="7"/>
  <c r="I53" i="7"/>
  <c r="J53" i="7"/>
  <c r="K53" i="7"/>
  <c r="G54" i="7"/>
  <c r="L54" i="7" s="1"/>
  <c r="H54" i="7"/>
  <c r="I54" i="7"/>
  <c r="J54" i="7"/>
  <c r="K54" i="7"/>
  <c r="G55" i="7"/>
  <c r="L55" i="7" s="1"/>
  <c r="H55" i="7"/>
  <c r="I55" i="7"/>
  <c r="J55" i="7"/>
  <c r="K55" i="7"/>
  <c r="G56" i="7"/>
  <c r="L56" i="7" s="1"/>
  <c r="H56" i="7"/>
  <c r="I56" i="7"/>
  <c r="J56" i="7"/>
  <c r="K56" i="7"/>
  <c r="G57" i="7"/>
  <c r="L57" i="7" s="1"/>
  <c r="H57" i="7"/>
  <c r="I57" i="7"/>
  <c r="J57" i="7"/>
  <c r="K57" i="7"/>
  <c r="G58" i="7"/>
  <c r="L58" i="7" s="1"/>
  <c r="H58" i="7"/>
  <c r="I58" i="7"/>
  <c r="J58" i="7"/>
  <c r="K58" i="7"/>
  <c r="G59" i="7"/>
  <c r="L59" i="7" s="1"/>
  <c r="H59" i="7"/>
  <c r="I59" i="7"/>
  <c r="J59" i="7"/>
  <c r="K59" i="7"/>
  <c r="G60" i="7"/>
  <c r="L60" i="7" s="1"/>
  <c r="H60" i="7"/>
  <c r="I60" i="7"/>
  <c r="J60" i="7"/>
  <c r="K60" i="7"/>
  <c r="G61" i="7"/>
  <c r="L61" i="7" s="1"/>
  <c r="H61" i="7"/>
  <c r="I61" i="7"/>
  <c r="J61" i="7"/>
  <c r="K61" i="7"/>
  <c r="G62" i="7"/>
  <c r="L62" i="7" s="1"/>
  <c r="H62" i="7"/>
  <c r="I62" i="7"/>
  <c r="J62" i="7"/>
  <c r="K62" i="7"/>
  <c r="G63" i="7"/>
  <c r="L63" i="7" s="1"/>
  <c r="H63" i="7"/>
  <c r="I63" i="7"/>
  <c r="J63" i="7"/>
  <c r="K63" i="7"/>
  <c r="G64" i="7"/>
  <c r="L64" i="7" s="1"/>
  <c r="H64" i="7"/>
  <c r="I64" i="7"/>
  <c r="J64" i="7"/>
  <c r="K64" i="7"/>
  <c r="G65" i="7"/>
  <c r="L65" i="7" s="1"/>
  <c r="H65" i="7"/>
  <c r="I65" i="7"/>
  <c r="J65" i="7"/>
  <c r="K65" i="7"/>
  <c r="G66" i="7"/>
  <c r="L66" i="7" s="1"/>
  <c r="H66" i="7"/>
  <c r="I66" i="7"/>
  <c r="J66" i="7"/>
  <c r="K66" i="7"/>
  <c r="G67" i="7"/>
  <c r="L67" i="7" s="1"/>
  <c r="H67" i="7"/>
  <c r="I67" i="7"/>
  <c r="J67" i="7"/>
  <c r="K67" i="7"/>
  <c r="G68" i="7"/>
  <c r="L68" i="7" s="1"/>
  <c r="H68" i="7"/>
  <c r="I68" i="7"/>
  <c r="J68" i="7"/>
  <c r="K68" i="7"/>
  <c r="G69" i="7"/>
  <c r="L69" i="7" s="1"/>
  <c r="H69" i="7"/>
  <c r="I69" i="7"/>
  <c r="J69" i="7"/>
  <c r="K69" i="7"/>
  <c r="G70" i="7"/>
  <c r="L70" i="7" s="1"/>
  <c r="H70" i="7"/>
  <c r="I70" i="7"/>
  <c r="J70" i="7"/>
  <c r="K70" i="7"/>
  <c r="G71" i="7"/>
  <c r="L71" i="7" s="1"/>
  <c r="H71" i="7"/>
  <c r="I71" i="7"/>
  <c r="J71" i="7"/>
  <c r="K71" i="7"/>
  <c r="G72" i="7"/>
  <c r="L72" i="7" s="1"/>
  <c r="H72" i="7"/>
  <c r="I72" i="7"/>
  <c r="J72" i="7"/>
  <c r="K72" i="7"/>
  <c r="G73" i="7"/>
  <c r="L73" i="7" s="1"/>
  <c r="H73" i="7"/>
  <c r="I73" i="7"/>
  <c r="J73" i="7"/>
  <c r="K73" i="7"/>
  <c r="G74" i="7"/>
  <c r="L74" i="7" s="1"/>
  <c r="H74" i="7"/>
  <c r="I74" i="7"/>
  <c r="J74" i="7"/>
  <c r="K74" i="7"/>
  <c r="G75" i="7"/>
  <c r="L75" i="7" s="1"/>
  <c r="H75" i="7"/>
  <c r="I75" i="7"/>
  <c r="J75" i="7"/>
  <c r="K75" i="7"/>
  <c r="G76" i="7"/>
  <c r="L76" i="7" s="1"/>
  <c r="H76" i="7"/>
  <c r="I76" i="7"/>
  <c r="J76" i="7"/>
  <c r="K76" i="7"/>
  <c r="G77" i="7"/>
  <c r="L77" i="7" s="1"/>
  <c r="H77" i="7"/>
  <c r="I77" i="7"/>
  <c r="J77" i="7"/>
  <c r="K77" i="7"/>
  <c r="G78" i="7"/>
  <c r="L78" i="7" s="1"/>
  <c r="H78" i="7"/>
  <c r="I78" i="7"/>
  <c r="J78" i="7"/>
  <c r="K78" i="7"/>
  <c r="G79" i="7"/>
  <c r="L79" i="7" s="1"/>
  <c r="H79" i="7"/>
  <c r="I79" i="7"/>
  <c r="J79" i="7"/>
  <c r="K79" i="7"/>
  <c r="G80" i="7"/>
  <c r="L80" i="7" s="1"/>
  <c r="H80" i="7"/>
  <c r="I80" i="7"/>
  <c r="J80" i="7"/>
  <c r="K80" i="7"/>
  <c r="G81" i="7"/>
  <c r="L81" i="7" s="1"/>
  <c r="H81" i="7"/>
  <c r="I81" i="7"/>
  <c r="J81" i="7"/>
  <c r="K81" i="7"/>
  <c r="G82" i="7"/>
  <c r="L82" i="7" s="1"/>
  <c r="H82" i="7"/>
  <c r="I82" i="7"/>
  <c r="J82" i="7"/>
  <c r="K82" i="7"/>
  <c r="G83" i="7"/>
  <c r="L83" i="7" s="1"/>
  <c r="H83" i="7"/>
  <c r="I83" i="7"/>
  <c r="J83" i="7"/>
  <c r="K83" i="7"/>
  <c r="G84" i="7"/>
  <c r="L84" i="7" s="1"/>
  <c r="H84" i="7"/>
  <c r="I84" i="7"/>
  <c r="J84" i="7"/>
  <c r="K84" i="7"/>
  <c r="G85" i="7"/>
  <c r="L85" i="7" s="1"/>
  <c r="H85" i="7"/>
  <c r="I85" i="7"/>
  <c r="J85" i="7"/>
  <c r="K85" i="7"/>
  <c r="G86" i="7"/>
  <c r="L86" i="7" s="1"/>
  <c r="H86" i="7"/>
  <c r="I86" i="7"/>
  <c r="J86" i="7"/>
  <c r="K86" i="7"/>
  <c r="G87" i="7"/>
  <c r="L87" i="7" s="1"/>
  <c r="H87" i="7"/>
  <c r="I87" i="7"/>
  <c r="J87" i="7"/>
  <c r="K87" i="7"/>
  <c r="G88" i="7"/>
  <c r="L88" i="7" s="1"/>
  <c r="H88" i="7"/>
  <c r="I88" i="7"/>
  <c r="J88" i="7"/>
  <c r="K88" i="7"/>
  <c r="G89" i="7"/>
  <c r="L89" i="7" s="1"/>
  <c r="H89" i="7"/>
  <c r="I89" i="7"/>
  <c r="J89" i="7"/>
  <c r="K89" i="7"/>
  <c r="G90" i="7"/>
  <c r="L90" i="7" s="1"/>
  <c r="H90" i="7"/>
  <c r="I90" i="7"/>
  <c r="J90" i="7"/>
  <c r="K90" i="7"/>
  <c r="G91" i="7"/>
  <c r="L91" i="7" s="1"/>
  <c r="H91" i="7"/>
  <c r="I91" i="7"/>
  <c r="J91" i="7"/>
  <c r="K91" i="7"/>
  <c r="G92" i="7"/>
  <c r="L92" i="7" s="1"/>
  <c r="H92" i="7"/>
  <c r="I92" i="7"/>
  <c r="J92" i="7"/>
  <c r="K92" i="7"/>
  <c r="G93" i="7"/>
  <c r="L93" i="7" s="1"/>
  <c r="H93" i="7"/>
  <c r="I93" i="7"/>
  <c r="J93" i="7"/>
  <c r="K93" i="7"/>
  <c r="G94" i="7"/>
  <c r="L94" i="7" s="1"/>
  <c r="H94" i="7"/>
  <c r="I94" i="7"/>
  <c r="J94" i="7"/>
  <c r="K94" i="7"/>
  <c r="G95" i="7"/>
  <c r="L95" i="7" s="1"/>
  <c r="H95" i="7"/>
  <c r="I95" i="7"/>
  <c r="J95" i="7"/>
  <c r="K95" i="7"/>
  <c r="G96" i="7"/>
  <c r="L96" i="7" s="1"/>
  <c r="H96" i="7"/>
  <c r="I96" i="7"/>
  <c r="J96" i="7"/>
  <c r="K96" i="7"/>
  <c r="G97" i="7"/>
  <c r="L97" i="7" s="1"/>
  <c r="H97" i="7"/>
  <c r="I97" i="7"/>
  <c r="J97" i="7"/>
  <c r="K97" i="7"/>
  <c r="G98" i="7"/>
  <c r="L98" i="7" s="1"/>
  <c r="H98" i="7"/>
  <c r="I98" i="7"/>
  <c r="J98" i="7"/>
  <c r="K98" i="7"/>
  <c r="G99" i="7"/>
  <c r="L99" i="7" s="1"/>
  <c r="H99" i="7"/>
  <c r="I99" i="7"/>
  <c r="J99" i="7"/>
  <c r="K99" i="7"/>
  <c r="G100" i="7"/>
  <c r="L100" i="7" s="1"/>
  <c r="H100" i="7"/>
  <c r="I100" i="7"/>
  <c r="J100" i="7"/>
  <c r="K100" i="7"/>
  <c r="G101" i="7"/>
  <c r="L101" i="7" s="1"/>
  <c r="H101" i="7"/>
  <c r="I101" i="7"/>
  <c r="J101" i="7"/>
  <c r="K101" i="7"/>
  <c r="H2" i="7"/>
  <c r="I2" i="7"/>
  <c r="J2" i="7"/>
  <c r="K2" i="7"/>
  <c r="G2" i="7"/>
  <c r="L2" i="7" l="1"/>
  <c r="L103" i="7" s="1"/>
  <c r="L104" i="7" s="1"/>
</calcChain>
</file>

<file path=xl/sharedStrings.xml><?xml version="1.0" encoding="utf-8"?>
<sst xmlns="http://schemas.openxmlformats.org/spreadsheetml/2006/main" count="735" uniqueCount="126">
  <si>
    <t>Latitud</t>
  </si>
  <si>
    <t>Longitud</t>
  </si>
  <si>
    <t>clientes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</si>
  <si>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</si>
  <si>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</si>
  <si>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</si>
  <si>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</si>
  <si>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</si>
  <si>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</si>
  <si>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</si>
  <si>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</si>
  <si>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</si>
  <si>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</si>
  <si>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</si>
  <si>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</si>
  <si>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</si>
  <si>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</si>
  <si>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</si>
  <si>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</si>
  <si>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</si>
  <si>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</si>
  <si>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</si>
  <si>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</si>
  <si>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</si>
  <si>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</si>
  <si>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</si>
  <si>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</si>
  <si>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</si>
  <si>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</si>
  <si>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</si>
  <si>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</si>
  <si>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</si>
  <si>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</si>
  <si>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</si>
  <si>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</si>
  <si>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</si>
  <si>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</si>
  <si>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</si>
  <si>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</si>
  <si>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</si>
  <si>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</si>
  <si>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</si>
  <si>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</si>
  <si>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</si>
  <si>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</si>
  <si>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</si>
  <si>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</si>
  <si>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</si>
  <si>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</si>
  <si>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</si>
  <si>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</si>
  <si>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</si>
  <si>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</si>
  <si>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</si>
  <si>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</si>
  <si>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</si>
  <si>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</si>
  <si>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</si>
  <si>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</si>
  <si>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</si>
  <si>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</si>
  <si>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</si>
  <si>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</si>
  <si>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</si>
  <si>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</si>
  <si>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</si>
  <si>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</si>
  <si>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</si>
  <si>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</si>
  <si>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</si>
  <si>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</si>
  <si>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</si>
  <si>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</si>
  <si>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</si>
  <si>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</si>
  <si>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</si>
  <si>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</si>
  <si>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</si>
  <si>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</si>
  <si>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</si>
  <si>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</si>
  <si>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</si>
  <si>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</si>
  <si>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</si>
  <si>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</si>
  <si>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</si>
  <si>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</si>
  <si>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</si>
  <si>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</si>
  <si>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</si>
  <si>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</si>
  <si>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</si>
  <si>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</si>
  <si>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</si>
  <si>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</si>
  <si>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</si>
  <si>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</si>
  <si>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</si>
  <si>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</si>
  <si>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</si>
  <si>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</si>
  <si>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</si>
  <si>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</si>
  <si>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B1</t>
  </si>
  <si>
    <t>B2</t>
  </si>
  <si>
    <t>B3</t>
  </si>
  <si>
    <t>Lunes</t>
  </si>
  <si>
    <t>Martes</t>
  </si>
  <si>
    <t>Miércoles</t>
  </si>
  <si>
    <t>Jueves</t>
  </si>
  <si>
    <t>Viernes</t>
  </si>
  <si>
    <t>M</t>
  </si>
  <si>
    <t>Tr</t>
  </si>
  <si>
    <t>Cs</t>
  </si>
  <si>
    <t>TM</t>
  </si>
  <si>
    <t>MCS</t>
  </si>
  <si>
    <t>entrega medicamentos</t>
  </si>
  <si>
    <t>control de sintomas</t>
  </si>
  <si>
    <t>terapia respitoria</t>
  </si>
  <si>
    <t>terapia y medicamentos</t>
  </si>
  <si>
    <t>medicamentos y control sintomas</t>
  </si>
  <si>
    <t>V</t>
  </si>
  <si>
    <t>ambulancias</t>
  </si>
  <si>
    <t>p</t>
  </si>
  <si>
    <t>medicos, terapeutas, enfermeras</t>
  </si>
  <si>
    <t>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</si>
</sst>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F199-BC50-4C95-97D3-D82112510F86}">
  <sheetPr>
    <tabColor rgb="FFFFFF00"/>
  </sheetPr>
  <dimension ref="A1:C105"/>
  <sheetViews>
    <sheetView workbookViewId="0">
      <selection activeCell="F26" sqref="F26"/>
    </sheetView>
  </sheetViews>
  <sheetFormatPr baseColWidth="10" defaultRowHeight="14.4" x14ac:dyDescent="0.3"/>
  <cols>
    <col min="1" max="1" width="12" bestFit="1" customWidth="1"/>
  </cols>
  <sheetData>
    <row r="1" spans="1:3" x14ac:dyDescent="0.3">
      <c r="A1" s="3" t="s">
        <v>0</v>
      </c>
      <c r="B1" s="3" t="s">
        <v>1</v>
      </c>
      <c r="C1" s="8" t="s">
        <v>2</v>
      </c>
    </row>
    <row r="2" spans="1:3" x14ac:dyDescent="0.3">
      <c r="A2" s="4">
        <v>4.7226906581022998</v>
      </c>
      <c r="B2" s="4">
        <v>-74.037657946423295</v>
      </c>
      <c r="C2" s="8" t="s">
        <v>3</v>
      </c>
    </row>
    <row r="3" spans="1:3" x14ac:dyDescent="0.3">
      <c r="A3" s="4">
        <v>4.71645114517026</v>
      </c>
      <c r="B3" s="4">
        <v>-74.036646685223204</v>
      </c>
      <c r="C3" s="8" t="s">
        <v>4</v>
      </c>
    </row>
    <row r="4" spans="1:3" x14ac:dyDescent="0.3">
      <c r="A4" s="4">
        <v>4.7221409079800498</v>
      </c>
      <c r="B4" s="4">
        <v>-74.034182749932697</v>
      </c>
      <c r="C4" s="8" t="s">
        <v>5</v>
      </c>
    </row>
    <row r="5" spans="1:3" x14ac:dyDescent="0.3">
      <c r="A5" s="4">
        <v>4.72526327004904</v>
      </c>
      <c r="B5" s="4">
        <v>-74.029364406308403</v>
      </c>
      <c r="C5" s="8" t="s">
        <v>6</v>
      </c>
    </row>
    <row r="6" spans="1:3" x14ac:dyDescent="0.3">
      <c r="A6" s="4">
        <v>4.7264045438012996</v>
      </c>
      <c r="B6" s="4">
        <v>-74.037531822845295</v>
      </c>
      <c r="C6" s="8" t="s">
        <v>7</v>
      </c>
    </row>
    <row r="7" spans="1:3" x14ac:dyDescent="0.3">
      <c r="A7" s="4">
        <v>4.7420118145135604</v>
      </c>
      <c r="B7" s="4">
        <v>-74.029195108793104</v>
      </c>
      <c r="C7" s="8" t="s">
        <v>8</v>
      </c>
    </row>
    <row r="8" spans="1:3" x14ac:dyDescent="0.3">
      <c r="A8" s="4">
        <v>4.7426955236138504</v>
      </c>
      <c r="B8" s="4">
        <v>-74.032944494487793</v>
      </c>
      <c r="C8" s="8" t="s">
        <v>9</v>
      </c>
    </row>
    <row r="9" spans="1:3" x14ac:dyDescent="0.3">
      <c r="A9" s="4">
        <v>4.7470785807553497</v>
      </c>
      <c r="B9" s="4">
        <v>-74.030857526372301</v>
      </c>
      <c r="C9" s="8" t="s">
        <v>10</v>
      </c>
    </row>
    <row r="10" spans="1:3" x14ac:dyDescent="0.3">
      <c r="A10" s="4">
        <v>4.7506365536896604</v>
      </c>
      <c r="B10" s="4">
        <v>-74.029695617566503</v>
      </c>
      <c r="C10" s="8" t="s">
        <v>11</v>
      </c>
    </row>
    <row r="11" spans="1:3" x14ac:dyDescent="0.3">
      <c r="A11" s="4">
        <v>4.6504683839102796</v>
      </c>
      <c r="B11" s="4">
        <v>-74.061236454444796</v>
      </c>
      <c r="C11" s="8" t="s">
        <v>12</v>
      </c>
    </row>
    <row r="12" spans="1:3" x14ac:dyDescent="0.3">
      <c r="A12" s="4">
        <v>4.6634796452134601</v>
      </c>
      <c r="B12" s="4">
        <v>-74.056036836926097</v>
      </c>
      <c r="C12" s="8" t="s">
        <v>13</v>
      </c>
    </row>
    <row r="13" spans="1:3" x14ac:dyDescent="0.3">
      <c r="A13" s="4">
        <v>4.6665670277934401</v>
      </c>
      <c r="B13" s="4">
        <v>-74.050173438447601</v>
      </c>
      <c r="C13" s="8" t="s">
        <v>14</v>
      </c>
    </row>
    <row r="14" spans="1:3" x14ac:dyDescent="0.3">
      <c r="A14" s="4">
        <v>4.5888709911149199</v>
      </c>
      <c r="B14" s="4">
        <v>-74.078767683897695</v>
      </c>
      <c r="C14" s="8" t="s">
        <v>15</v>
      </c>
    </row>
    <row r="15" spans="1:3" x14ac:dyDescent="0.3">
      <c r="A15" s="4">
        <v>4.6056396819487704</v>
      </c>
      <c r="B15" s="4">
        <v>-74.076021101841803</v>
      </c>
      <c r="C15" s="8" t="s">
        <v>16</v>
      </c>
    </row>
    <row r="16" spans="1:3" x14ac:dyDescent="0.3">
      <c r="A16" s="4">
        <v>4.5458582759036199</v>
      </c>
      <c r="B16" s="4">
        <v>-74.089874705397904</v>
      </c>
      <c r="C16" s="8" t="s">
        <v>17</v>
      </c>
    </row>
    <row r="17" spans="1:3" x14ac:dyDescent="0.3">
      <c r="A17" s="4">
        <v>4.5634835606031503</v>
      </c>
      <c r="B17" s="4">
        <v>-74.094852885374095</v>
      </c>
      <c r="C17" s="8" t="s">
        <v>18</v>
      </c>
    </row>
    <row r="18" spans="1:3" x14ac:dyDescent="0.3">
      <c r="A18" s="4">
        <v>4.5646813798000201</v>
      </c>
      <c r="B18" s="4">
        <v>-74.085411509557204</v>
      </c>
      <c r="C18" s="8" t="s">
        <v>19</v>
      </c>
    </row>
    <row r="19" spans="1:3" x14ac:dyDescent="0.3">
      <c r="A19" s="4">
        <v>4.5768305757291898</v>
      </c>
      <c r="B19" s="4">
        <v>-74.089703044019402</v>
      </c>
      <c r="C19" s="8" t="s">
        <v>20</v>
      </c>
    </row>
    <row r="20" spans="1:3" x14ac:dyDescent="0.3">
      <c r="A20" s="4">
        <v>4.4911355426577604</v>
      </c>
      <c r="B20" s="4">
        <v>-74.114773393744699</v>
      </c>
      <c r="C20" s="8" t="s">
        <v>21</v>
      </c>
    </row>
    <row r="21" spans="1:3" x14ac:dyDescent="0.3">
      <c r="A21" s="4">
        <v>4.5178320009358597</v>
      </c>
      <c r="B21" s="4">
        <v>-74.117176653043501</v>
      </c>
      <c r="C21" s="8" t="s">
        <v>22</v>
      </c>
    </row>
    <row r="22" spans="1:3" x14ac:dyDescent="0.3">
      <c r="A22" s="4">
        <v>4.5156073335384903</v>
      </c>
      <c r="B22" s="4">
        <v>-74.0912557848917</v>
      </c>
      <c r="C22" s="8" t="s">
        <v>23</v>
      </c>
    </row>
    <row r="23" spans="1:3" x14ac:dyDescent="0.3">
      <c r="A23" s="4">
        <v>4.57954321821828</v>
      </c>
      <c r="B23" s="4">
        <v>-74.136839955500193</v>
      </c>
      <c r="C23" s="8" t="s">
        <v>24</v>
      </c>
    </row>
    <row r="24" spans="1:3" x14ac:dyDescent="0.3">
      <c r="A24" s="4">
        <v>4.5624316802146803</v>
      </c>
      <c r="B24" s="4">
        <v>-74.128085225197196</v>
      </c>
      <c r="C24" s="8" t="s">
        <v>25</v>
      </c>
    </row>
    <row r="25" spans="1:3" x14ac:dyDescent="0.3">
      <c r="A25" s="4">
        <v>4.6100701636913</v>
      </c>
      <c r="B25" s="4">
        <v>-74.1994169929511</v>
      </c>
      <c r="C25" s="8" t="s">
        <v>26</v>
      </c>
    </row>
    <row r="26" spans="1:3" x14ac:dyDescent="0.3">
      <c r="A26" s="4">
        <v>4.6242718203825701</v>
      </c>
      <c r="B26" s="4">
        <v>-74.199245331572598</v>
      </c>
      <c r="C26" s="8" t="s">
        <v>27</v>
      </c>
    </row>
    <row r="27" spans="1:3" x14ac:dyDescent="0.3">
      <c r="A27" s="4">
        <v>4.6343668008575403</v>
      </c>
      <c r="B27" s="4">
        <v>-74.187744019213895</v>
      </c>
      <c r="C27" s="8" t="s">
        <v>28</v>
      </c>
    </row>
    <row r="28" spans="1:3" x14ac:dyDescent="0.3">
      <c r="A28" s="4">
        <v>4.6037392131615302</v>
      </c>
      <c r="B28" s="4">
        <v>-74.181564209588203</v>
      </c>
      <c r="C28" s="8" t="s">
        <v>29</v>
      </c>
    </row>
    <row r="29" spans="1:3" x14ac:dyDescent="0.3">
      <c r="A29" s="4">
        <v>4.6018570278133897</v>
      </c>
      <c r="B29" s="4">
        <v>-74.160621521412494</v>
      </c>
      <c r="C29" s="8" t="s">
        <v>30</v>
      </c>
    </row>
    <row r="30" spans="1:3" x14ac:dyDescent="0.3">
      <c r="A30" s="4">
        <v>4.6213630704825901</v>
      </c>
      <c r="B30" s="4">
        <v>-74.178130982018502</v>
      </c>
      <c r="C30" s="8" t="s">
        <v>31</v>
      </c>
    </row>
    <row r="31" spans="1:3" x14ac:dyDescent="0.3">
      <c r="A31" s="4">
        <v>4.6136633807960097</v>
      </c>
      <c r="B31" s="4">
        <v>-74.208000061875595</v>
      </c>
      <c r="C31" s="8" t="s">
        <v>32</v>
      </c>
    </row>
    <row r="32" spans="1:3" x14ac:dyDescent="0.3">
      <c r="A32" s="4">
        <v>4.6360921058890199</v>
      </c>
      <c r="B32" s="4">
        <v>-74.171037070842701</v>
      </c>
      <c r="C32" s="8" t="s">
        <v>33</v>
      </c>
    </row>
    <row r="33" spans="1:3" x14ac:dyDescent="0.3">
      <c r="A33" s="4">
        <v>4.6439626493908399</v>
      </c>
      <c r="B33" s="4">
        <v>-74.166745536380503</v>
      </c>
      <c r="C33" s="8" t="s">
        <v>34</v>
      </c>
    </row>
    <row r="34" spans="1:3" x14ac:dyDescent="0.3">
      <c r="A34" s="4">
        <v>4.6141910021559998</v>
      </c>
      <c r="B34" s="4">
        <v>-74.142884604770501</v>
      </c>
      <c r="C34" s="8" t="s">
        <v>35</v>
      </c>
    </row>
    <row r="35" spans="1:3" x14ac:dyDescent="0.3">
      <c r="A35" s="4">
        <v>4.6282214747132802</v>
      </c>
      <c r="B35" s="4">
        <v>-74.130868308276206</v>
      </c>
      <c r="C35" s="8" t="s">
        <v>36</v>
      </c>
    </row>
    <row r="36" spans="1:3" x14ac:dyDescent="0.3">
      <c r="A36" s="4">
        <v>4.63848749798189</v>
      </c>
      <c r="B36" s="4">
        <v>-74.171723716356695</v>
      </c>
      <c r="C36" s="8" t="s">
        <v>37</v>
      </c>
    </row>
    <row r="37" spans="1:3" x14ac:dyDescent="0.3">
      <c r="A37" s="4">
        <v>4.6419094725902301</v>
      </c>
      <c r="B37" s="4">
        <v>-74.163483970189205</v>
      </c>
      <c r="C37" s="8" t="s">
        <v>38</v>
      </c>
    </row>
    <row r="38" spans="1:3" x14ac:dyDescent="0.3">
      <c r="A38" s="4">
        <v>4.6444759426572704</v>
      </c>
      <c r="B38" s="4">
        <v>-74.165887229488007</v>
      </c>
      <c r="C38" s="8" t="s">
        <v>39</v>
      </c>
    </row>
    <row r="39" spans="1:3" x14ac:dyDescent="0.3">
      <c r="A39" s="4">
        <v>4.6280503730629396</v>
      </c>
      <c r="B39" s="4">
        <v>-74.130181662762297</v>
      </c>
      <c r="C39" s="8" t="s">
        <v>40</v>
      </c>
    </row>
    <row r="40" spans="1:3" x14ac:dyDescent="0.3">
      <c r="A40" s="4">
        <v>4.6301035901364802</v>
      </c>
      <c r="B40" s="4">
        <v>-74.146661155097206</v>
      </c>
      <c r="C40" s="8" t="s">
        <v>41</v>
      </c>
    </row>
    <row r="41" spans="1:3" x14ac:dyDescent="0.3">
      <c r="A41" s="4">
        <v>4.6100844698889096</v>
      </c>
      <c r="B41" s="4">
        <v>-74.145287864069303</v>
      </c>
      <c r="C41" s="8" t="s">
        <v>42</v>
      </c>
    </row>
    <row r="42" spans="1:3" x14ac:dyDescent="0.3">
      <c r="A42" s="4">
        <v>4.6297613877046198</v>
      </c>
      <c r="B42" s="4">
        <v>-74.146317832340301</v>
      </c>
      <c r="C42" s="8" t="s">
        <v>43</v>
      </c>
    </row>
    <row r="43" spans="1:3" x14ac:dyDescent="0.3">
      <c r="A43" s="4">
        <v>4.6369476039975099</v>
      </c>
      <c r="B43" s="4">
        <v>-74.139966361336107</v>
      </c>
      <c r="C43" s="8" t="s">
        <v>44</v>
      </c>
    </row>
    <row r="44" spans="1:3" x14ac:dyDescent="0.3">
      <c r="A44" s="4">
        <v>4.6159020502577404</v>
      </c>
      <c r="B44" s="4">
        <v>-74.179276817010205</v>
      </c>
      <c r="C44" s="8" t="s">
        <v>45</v>
      </c>
    </row>
    <row r="45" spans="1:3" x14ac:dyDescent="0.3">
      <c r="A45" s="4">
        <v>4.6452920864195599</v>
      </c>
      <c r="B45" s="4">
        <v>-74.119942749248807</v>
      </c>
      <c r="C45" s="8" t="s">
        <v>46</v>
      </c>
    </row>
    <row r="46" spans="1:3" x14ac:dyDescent="0.3">
      <c r="A46" s="4">
        <v>4.6707851515286301</v>
      </c>
      <c r="B46" s="4">
        <v>-74.142602051209394</v>
      </c>
      <c r="C46" s="8" t="s">
        <v>47</v>
      </c>
    </row>
    <row r="47" spans="1:3" x14ac:dyDescent="0.3">
      <c r="A47" s="4">
        <v>4.6798529313734498</v>
      </c>
      <c r="B47" s="4">
        <v>-74.135907257448295</v>
      </c>
      <c r="C47" s="8" t="s">
        <v>48</v>
      </c>
    </row>
    <row r="48" spans="1:3" x14ac:dyDescent="0.3">
      <c r="A48" s="4">
        <v>4.68584102348375</v>
      </c>
      <c r="B48" s="4">
        <v>-74.146893585671606</v>
      </c>
      <c r="C48" s="8" t="s">
        <v>49</v>
      </c>
    </row>
    <row r="49" spans="1:3" x14ac:dyDescent="0.3">
      <c r="A49" s="4">
        <v>4.6805372873516404</v>
      </c>
      <c r="B49" s="4">
        <v>-74.149468506348995</v>
      </c>
      <c r="C49" s="8" t="s">
        <v>50</v>
      </c>
    </row>
    <row r="50" spans="1:3" x14ac:dyDescent="0.3">
      <c r="A50" s="4">
        <v>4.7292410595823604</v>
      </c>
      <c r="B50" s="4">
        <v>-74.115981865500501</v>
      </c>
      <c r="C50" s="8" t="s">
        <v>51</v>
      </c>
    </row>
    <row r="51" spans="1:3" x14ac:dyDescent="0.3">
      <c r="A51" s="4">
        <v>4.7123094332470199</v>
      </c>
      <c r="B51" s="4">
        <v>-74.136919334600606</v>
      </c>
      <c r="C51" s="8" t="s">
        <v>52</v>
      </c>
    </row>
    <row r="52" spans="1:3" x14ac:dyDescent="0.3">
      <c r="A52" s="4">
        <v>4.7169597097950904</v>
      </c>
      <c r="B52" s="4">
        <v>-74.102342599915303</v>
      </c>
      <c r="C52" s="8" t="s">
        <v>53</v>
      </c>
    </row>
    <row r="53" spans="1:3" x14ac:dyDescent="0.3">
      <c r="A53" s="4">
        <v>4.7024125873239901</v>
      </c>
      <c r="B53" s="4">
        <v>-74.107606877860505</v>
      </c>
      <c r="C53" s="8" t="s">
        <v>54</v>
      </c>
    </row>
    <row r="54" spans="1:3" x14ac:dyDescent="0.3">
      <c r="A54" s="4">
        <v>4.6755830812715198</v>
      </c>
      <c r="B54" s="4">
        <v>-74.111315800633406</v>
      </c>
      <c r="C54" s="8" t="s">
        <v>55</v>
      </c>
    </row>
    <row r="55" spans="1:3" x14ac:dyDescent="0.3">
      <c r="A55" s="4">
        <v>4.6736751661132701</v>
      </c>
      <c r="B55" s="4">
        <v>-74.090737259575107</v>
      </c>
      <c r="C55" s="8" t="s">
        <v>56</v>
      </c>
    </row>
    <row r="56" spans="1:3" x14ac:dyDescent="0.3">
      <c r="A56" s="4">
        <v>4.7025318272623</v>
      </c>
      <c r="B56" s="4">
        <v>-74.131535413865294</v>
      </c>
      <c r="C56" s="8" t="s">
        <v>57</v>
      </c>
    </row>
    <row r="57" spans="1:3" x14ac:dyDescent="0.3">
      <c r="A57" s="4">
        <v>4.6864342498673297</v>
      </c>
      <c r="B57" s="4">
        <v>-74.096360465727201</v>
      </c>
      <c r="C57" s="8" t="s">
        <v>58</v>
      </c>
    </row>
    <row r="58" spans="1:3" x14ac:dyDescent="0.3">
      <c r="A58" s="4">
        <v>4.7058705374262999</v>
      </c>
      <c r="B58" s="4">
        <v>-74.123280068988507</v>
      </c>
      <c r="C58" s="8" t="s">
        <v>59</v>
      </c>
    </row>
    <row r="59" spans="1:3" x14ac:dyDescent="0.3">
      <c r="A59" s="4">
        <v>4.6764177925431998</v>
      </c>
      <c r="B59" s="4">
        <v>-74.110478301963596</v>
      </c>
      <c r="C59" s="8" t="s">
        <v>60</v>
      </c>
    </row>
    <row r="60" spans="1:3" x14ac:dyDescent="0.3">
      <c r="A60" s="4">
        <v>4.7193444549263104</v>
      </c>
      <c r="B60" s="4">
        <v>-74.126271136052694</v>
      </c>
      <c r="C60" s="8" t="s">
        <v>61</v>
      </c>
    </row>
    <row r="61" spans="1:3" x14ac:dyDescent="0.3">
      <c r="A61" s="4">
        <v>4.6983584169737602</v>
      </c>
      <c r="B61" s="4">
        <v>-74.121365786003196</v>
      </c>
      <c r="C61" s="8" t="s">
        <v>62</v>
      </c>
    </row>
    <row r="62" spans="1:3" x14ac:dyDescent="0.3">
      <c r="A62" s="4">
        <v>4.7436034293587301</v>
      </c>
      <c r="B62" s="4">
        <v>-74.124985452363603</v>
      </c>
      <c r="C62" s="8" t="s">
        <v>63</v>
      </c>
    </row>
    <row r="63" spans="1:3" x14ac:dyDescent="0.3">
      <c r="A63" s="4">
        <v>4.7570657625582502</v>
      </c>
      <c r="B63" s="4">
        <v>-74.101303471562005</v>
      </c>
      <c r="C63" s="8" t="s">
        <v>64</v>
      </c>
    </row>
    <row r="64" spans="1:3" x14ac:dyDescent="0.3">
      <c r="A64" s="4">
        <v>4.7603897549548604</v>
      </c>
      <c r="B64" s="4">
        <v>-74.059609843390206</v>
      </c>
      <c r="C64" s="8" t="s">
        <v>65</v>
      </c>
    </row>
    <row r="65" spans="1:3" x14ac:dyDescent="0.3">
      <c r="A65" s="4">
        <v>4.7432710227462298</v>
      </c>
      <c r="B65" s="4">
        <v>-74.059609843390206</v>
      </c>
      <c r="C65" s="8" t="s">
        <v>66</v>
      </c>
    </row>
    <row r="66" spans="1:3" x14ac:dyDescent="0.3">
      <c r="A66" s="4">
        <v>4.7156807171489499</v>
      </c>
      <c r="B66" s="4">
        <v>-74.059276294364807</v>
      </c>
      <c r="C66" s="8" t="s">
        <v>67</v>
      </c>
    </row>
    <row r="67" spans="1:3" x14ac:dyDescent="0.3">
      <c r="A67" s="4">
        <v>4.6974416809774997</v>
      </c>
      <c r="B67" s="4">
        <v>-74.072363529708298</v>
      </c>
      <c r="C67" s="8" t="s">
        <v>68</v>
      </c>
    </row>
    <row r="68" spans="1:3" x14ac:dyDescent="0.3">
      <c r="A68" s="4">
        <v>4.7195478350888802</v>
      </c>
      <c r="B68" s="4">
        <v>-74.0900416280532</v>
      </c>
      <c r="C68" s="8" t="s">
        <v>69</v>
      </c>
    </row>
    <row r="69" spans="1:3" x14ac:dyDescent="0.3">
      <c r="A69" s="4">
        <v>4.7280244444348796</v>
      </c>
      <c r="B69" s="4">
        <v>-74.083203873033</v>
      </c>
      <c r="C69" s="8" t="s">
        <v>70</v>
      </c>
    </row>
    <row r="70" spans="1:3" x14ac:dyDescent="0.3">
      <c r="A70" s="4">
        <v>4.7394926331314302</v>
      </c>
      <c r="B70" s="4">
        <v>-74.075198696423996</v>
      </c>
      <c r="C70" s="8" t="s">
        <v>71</v>
      </c>
    </row>
    <row r="71" spans="1:3" x14ac:dyDescent="0.3">
      <c r="A71" s="4">
        <v>4.7391602245408198</v>
      </c>
      <c r="B71" s="4">
        <v>-74.088540657438998</v>
      </c>
      <c r="C71" s="8" t="s">
        <v>72</v>
      </c>
    </row>
    <row r="72" spans="1:3" x14ac:dyDescent="0.3">
      <c r="A72" s="4">
        <v>4.7473041889580303</v>
      </c>
      <c r="B72" s="4">
        <v>-74.092876794768898</v>
      </c>
      <c r="C72" s="8" t="s">
        <v>73</v>
      </c>
    </row>
    <row r="73" spans="1:3" x14ac:dyDescent="0.3">
      <c r="A73" s="4">
        <v>4.7355037194946101</v>
      </c>
      <c r="B73" s="4">
        <v>-74.099547775276406</v>
      </c>
      <c r="C73" s="8" t="s">
        <v>74</v>
      </c>
    </row>
    <row r="74" spans="1:3" x14ac:dyDescent="0.3">
      <c r="A74" s="4">
        <v>4.7547832552771299</v>
      </c>
      <c r="B74" s="4">
        <v>-74.086872912312103</v>
      </c>
      <c r="C74" s="8" t="s">
        <v>75</v>
      </c>
    </row>
    <row r="75" spans="1:3" x14ac:dyDescent="0.3">
      <c r="A75" s="4">
        <v>4.7195478350888802</v>
      </c>
      <c r="B75" s="4">
        <v>-74.083537422058399</v>
      </c>
      <c r="C75" s="8" t="s">
        <v>76</v>
      </c>
    </row>
    <row r="76" spans="1:3" x14ac:dyDescent="0.3">
      <c r="A76" s="4">
        <v>4.7115697552397702</v>
      </c>
      <c r="B76" s="4">
        <v>-74.058187696129906</v>
      </c>
      <c r="C76" s="8" t="s">
        <v>77</v>
      </c>
    </row>
    <row r="77" spans="1:3" x14ac:dyDescent="0.3">
      <c r="A77" s="4">
        <v>4.7453097575747503</v>
      </c>
      <c r="B77" s="4">
        <v>-74.056186401977698</v>
      </c>
      <c r="C77" s="8" t="s">
        <v>78</v>
      </c>
    </row>
    <row r="78" spans="1:3" x14ac:dyDescent="0.3">
      <c r="A78" s="4">
        <v>4.6782272131318798</v>
      </c>
      <c r="B78" s="4">
        <v>-74.078561869139094</v>
      </c>
      <c r="C78" s="8" t="s">
        <v>79</v>
      </c>
    </row>
    <row r="79" spans="1:3" x14ac:dyDescent="0.3">
      <c r="A79" s="4">
        <v>4.6645399214372203</v>
      </c>
      <c r="B79" s="4">
        <v>-74.067661371877705</v>
      </c>
      <c r="C79" s="8" t="s">
        <v>80</v>
      </c>
    </row>
    <row r="80" spans="1:3" x14ac:dyDescent="0.3">
      <c r="A80" s="4">
        <v>4.64550547962748</v>
      </c>
      <c r="B80" s="4">
        <v>-74.070669369052894</v>
      </c>
      <c r="C80" s="8" t="s">
        <v>81</v>
      </c>
    </row>
    <row r="81" spans="1:3" x14ac:dyDescent="0.3">
      <c r="A81" s="4">
        <v>4.6511516726452804</v>
      </c>
      <c r="B81" s="4">
        <v>-74.096761897930705</v>
      </c>
      <c r="C81" s="8" t="s">
        <v>82</v>
      </c>
    </row>
    <row r="82" spans="1:3" x14ac:dyDescent="0.3">
      <c r="A82" s="4">
        <v>4.6298498899516396</v>
      </c>
      <c r="B82" s="4">
        <v>-74.085346416546699</v>
      </c>
      <c r="C82" s="8" t="s">
        <v>83</v>
      </c>
    </row>
    <row r="83" spans="1:3" x14ac:dyDescent="0.3">
      <c r="A83" s="4">
        <v>4.6113285386901604</v>
      </c>
      <c r="B83" s="4">
        <v>-74.087045440371199</v>
      </c>
      <c r="C83" s="8" t="s">
        <v>84</v>
      </c>
    </row>
    <row r="84" spans="1:3" x14ac:dyDescent="0.3">
      <c r="A84" s="4">
        <v>4.5863667287092502</v>
      </c>
      <c r="B84" s="4">
        <v>-74.100690650966001</v>
      </c>
      <c r="C84" s="8" t="s">
        <v>85</v>
      </c>
    </row>
    <row r="85" spans="1:3" x14ac:dyDescent="0.3">
      <c r="A85" s="4">
        <v>4.6217811819903298</v>
      </c>
      <c r="B85" s="4">
        <v>-74.114659855383294</v>
      </c>
      <c r="C85" s="8" t="s">
        <v>86</v>
      </c>
    </row>
    <row r="86" spans="1:3" x14ac:dyDescent="0.3">
      <c r="A86" s="4">
        <v>4.6325606006405602</v>
      </c>
      <c r="B86" s="4">
        <v>-74.107621738865305</v>
      </c>
      <c r="C86" s="8" t="s">
        <v>87</v>
      </c>
    </row>
    <row r="87" spans="1:3" x14ac:dyDescent="0.3">
      <c r="A87" s="4">
        <v>4.6110015993925897</v>
      </c>
      <c r="B87" s="4">
        <v>-74.115174839518801</v>
      </c>
      <c r="C87" s="8" t="s">
        <v>88</v>
      </c>
    </row>
    <row r="88" spans="1:3" x14ac:dyDescent="0.3">
      <c r="A88" s="4">
        <v>4.61767469364516</v>
      </c>
      <c r="B88" s="4">
        <v>-74.097579548223607</v>
      </c>
      <c r="C88" s="8" t="s">
        <v>89</v>
      </c>
    </row>
    <row r="89" spans="1:3" x14ac:dyDescent="0.3">
      <c r="A89" s="4">
        <v>4.5916934253923998</v>
      </c>
      <c r="B89" s="4">
        <v>-74.072407391358993</v>
      </c>
      <c r="C89" s="8" t="s">
        <v>90</v>
      </c>
    </row>
    <row r="90" spans="1:3" x14ac:dyDescent="0.3">
      <c r="A90" s="4">
        <v>4.5547667691751696</v>
      </c>
      <c r="B90" s="4">
        <v>-74.118851767529407</v>
      </c>
      <c r="C90" s="8" t="s">
        <v>91</v>
      </c>
    </row>
    <row r="91" spans="1:3" x14ac:dyDescent="0.3">
      <c r="A91" s="4">
        <v>4.5823164391931899</v>
      </c>
      <c r="B91" s="4">
        <v>-74.123829947505598</v>
      </c>
      <c r="C91" s="8" t="s">
        <v>92</v>
      </c>
    </row>
    <row r="92" spans="1:3" x14ac:dyDescent="0.3">
      <c r="A92" s="4">
        <v>4.5864231315299602</v>
      </c>
      <c r="B92" s="4">
        <v>-74.119710074421903</v>
      </c>
      <c r="C92" s="8" t="s">
        <v>93</v>
      </c>
    </row>
    <row r="93" spans="1:3" x14ac:dyDescent="0.3">
      <c r="A93" s="4">
        <v>4.5815685503331798</v>
      </c>
      <c r="B93" s="4">
        <v>-74.106133574842403</v>
      </c>
      <c r="C93" s="8" t="s">
        <v>94</v>
      </c>
    </row>
    <row r="94" spans="1:3" x14ac:dyDescent="0.3">
      <c r="A94" s="4">
        <v>4.5859097962787398</v>
      </c>
      <c r="B94" s="4">
        <v>-74.118165122015498</v>
      </c>
      <c r="C94" s="8" t="s">
        <v>95</v>
      </c>
    </row>
    <row r="95" spans="1:3" x14ac:dyDescent="0.3">
      <c r="A95" s="4">
        <v>4.5450897899374301</v>
      </c>
      <c r="B95" s="4">
        <v>-74.146738963198104</v>
      </c>
      <c r="C95" s="8" t="s">
        <v>96</v>
      </c>
    </row>
    <row r="96" spans="1:3" x14ac:dyDescent="0.3">
      <c r="A96" s="4">
        <v>4.59197556347321</v>
      </c>
      <c r="B96" s="4">
        <v>-74.173174815485496</v>
      </c>
      <c r="C96" s="8" t="s">
        <v>97</v>
      </c>
    </row>
    <row r="97" spans="1:3" x14ac:dyDescent="0.3">
      <c r="A97" s="4">
        <v>4.5683781482218997</v>
      </c>
      <c r="B97" s="4">
        <v>-74.149067998999996</v>
      </c>
      <c r="C97" s="8" t="s">
        <v>98</v>
      </c>
    </row>
    <row r="98" spans="1:3" x14ac:dyDescent="0.3">
      <c r="A98" s="4">
        <v>4.5727138380778598</v>
      </c>
      <c r="B98" s="4">
        <v>-74.168727836493403</v>
      </c>
      <c r="C98" s="8" t="s">
        <v>99</v>
      </c>
    </row>
    <row r="99" spans="1:3" x14ac:dyDescent="0.3">
      <c r="A99" s="4">
        <v>4.5787837597872496</v>
      </c>
      <c r="B99" s="4">
        <v>-74.166466085277307</v>
      </c>
      <c r="C99" s="8" t="s">
        <v>100</v>
      </c>
    </row>
    <row r="100" spans="1:3" x14ac:dyDescent="0.3">
      <c r="A100" s="4">
        <v>4.5639194463127799</v>
      </c>
      <c r="B100" s="4">
        <v>-74.1499178579854</v>
      </c>
      <c r="C100" s="8" t="s">
        <v>101</v>
      </c>
    </row>
    <row r="101" spans="1:3" x14ac:dyDescent="0.3">
      <c r="A101" s="5">
        <v>4.5866917146006703</v>
      </c>
      <c r="B101" s="5">
        <v>-74.099368587341502</v>
      </c>
      <c r="C101" s="8" t="s">
        <v>102</v>
      </c>
    </row>
    <row r="102" spans="1:3" x14ac:dyDescent="0.3">
      <c r="A102" s="7">
        <v>4.7386169834976002</v>
      </c>
      <c r="B102" s="7">
        <v>-74.070053361608103</v>
      </c>
      <c r="C102" s="9" t="s">
        <v>103</v>
      </c>
    </row>
    <row r="103" spans="1:3" x14ac:dyDescent="0.3">
      <c r="A103" s="7">
        <v>4.6510212601832404</v>
      </c>
      <c r="B103" s="7">
        <v>-74.121551773866997</v>
      </c>
      <c r="C103" s="9" t="s">
        <v>104</v>
      </c>
    </row>
    <row r="104" spans="1:3" x14ac:dyDescent="0.3">
      <c r="A104" s="7">
        <v>4.5661525103655203</v>
      </c>
      <c r="B104" s="7">
        <v>-74.105072281944103</v>
      </c>
      <c r="C104" s="9" t="s">
        <v>105</v>
      </c>
    </row>
    <row r="105" spans="1:3" x14ac:dyDescent="0.3">
      <c r="A105" s="6">
        <v>4.6488110558560898</v>
      </c>
      <c r="B105" s="6">
        <v>-74.069303935233407</v>
      </c>
      <c r="C105" t="s">
        <v>125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F15F-FB73-40A0-96DE-92DB8B9BBC0A}">
  <sheetPr>
    <tabColor rgb="FFFFFF00"/>
  </sheetPr>
  <dimension ref="A1:B2"/>
  <sheetViews>
    <sheetView workbookViewId="0">
      <selection activeCell="F26" sqref="F26"/>
    </sheetView>
  </sheetViews>
  <sheetFormatPr baseColWidth="10"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6">
        <v>4.6488110558560898</v>
      </c>
      <c r="B2" s="6">
        <v>-74.069303935233407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7A32-C93C-4F83-B46F-49C28FE99A7E}">
  <sheetPr>
    <tabColor rgb="FFFFFF00"/>
  </sheetPr>
  <dimension ref="A1:B4"/>
  <sheetViews>
    <sheetView workbookViewId="0">
      <selection activeCell="E26" sqref="E26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7">
        <v>4.7386169834976002</v>
      </c>
      <c r="B2" s="7">
        <v>-74.070053361608103</v>
      </c>
    </row>
    <row r="3" spans="1:2" x14ac:dyDescent="0.3">
      <c r="A3" s="7">
        <v>4.6510212601832404</v>
      </c>
      <c r="B3" s="7">
        <v>-74.121551773866997</v>
      </c>
    </row>
    <row r="4" spans="1:2" x14ac:dyDescent="0.3">
      <c r="A4" s="7">
        <v>4.5661525103655203</v>
      </c>
      <c r="B4" s="7">
        <v>-74.105072281944103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2E21-F787-4046-8F15-38DFD5CAA407}">
  <sheetPr>
    <tabColor rgb="FFFFFF00"/>
  </sheetPr>
  <dimension ref="A1:O106"/>
  <sheetViews>
    <sheetView tabSelected="1" workbookViewId="0">
      <selection activeCell="O21" sqref="O21:O22"/>
    </sheetView>
  </sheetViews>
  <sheetFormatPr baseColWidth="10" defaultRowHeight="14.4" x14ac:dyDescent="0.3"/>
  <sheetData>
    <row r="1" spans="1:15" x14ac:dyDescent="0.3"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 spans="1:15" x14ac:dyDescent="0.3">
      <c r="A2" t="s">
        <v>3</v>
      </c>
      <c r="B2" t="s">
        <v>111</v>
      </c>
      <c r="C2" t="s">
        <v>115</v>
      </c>
      <c r="D2" t="s">
        <v>114</v>
      </c>
      <c r="E2" t="s">
        <v>112</v>
      </c>
      <c r="F2" t="s">
        <v>113</v>
      </c>
      <c r="G2">
        <f>INDEX($N$2:$O$6,MATCH(B2,$N$2:$N$6,0),2)</f>
        <v>15</v>
      </c>
      <c r="H2">
        <f t="shared" ref="H2:K2" si="0">INDEX($N$2:$O$6,MATCH(C2,$N$2:$N$6,0),2)</f>
        <v>18</v>
      </c>
      <c r="I2">
        <f t="shared" si="0"/>
        <v>36</v>
      </c>
      <c r="J2">
        <f t="shared" si="0"/>
        <v>30</v>
      </c>
      <c r="K2">
        <f t="shared" si="0"/>
        <v>10</v>
      </c>
      <c r="L2">
        <f>SUM(G2:K2)</f>
        <v>109</v>
      </c>
      <c r="M2" t="s">
        <v>116</v>
      </c>
      <c r="N2" t="s">
        <v>111</v>
      </c>
      <c r="O2">
        <v>15</v>
      </c>
    </row>
    <row r="3" spans="1:15" x14ac:dyDescent="0.3">
      <c r="A3" t="s">
        <v>4</v>
      </c>
      <c r="B3" t="s">
        <v>111</v>
      </c>
      <c r="C3" t="s">
        <v>113</v>
      </c>
      <c r="D3" t="s">
        <v>112</v>
      </c>
      <c r="E3" t="s">
        <v>115</v>
      </c>
      <c r="F3" t="s">
        <v>114</v>
      </c>
      <c r="G3">
        <f t="shared" ref="G3:G66" si="1">INDEX($N$2:$O$6,MATCH(B3,$N$2:$N$6,0),2)</f>
        <v>15</v>
      </c>
      <c r="H3">
        <f t="shared" ref="H3:H66" si="2">INDEX($N$2:$O$6,MATCH(C3,$N$2:$N$6,0),2)</f>
        <v>10</v>
      </c>
      <c r="I3">
        <f t="shared" ref="I3:I66" si="3">INDEX($N$2:$O$6,MATCH(D3,$N$2:$N$6,0),2)</f>
        <v>30</v>
      </c>
      <c r="J3">
        <f t="shared" ref="J3:J66" si="4">INDEX($N$2:$O$6,MATCH(E3,$N$2:$N$6,0),2)</f>
        <v>18</v>
      </c>
      <c r="K3">
        <f t="shared" ref="K3:K66" si="5">INDEX($N$2:$O$6,MATCH(F3,$N$2:$N$6,0),2)</f>
        <v>36</v>
      </c>
      <c r="L3">
        <f t="shared" ref="L3:L66" si="6">SUM(G3:K3)</f>
        <v>109</v>
      </c>
      <c r="M3" t="s">
        <v>118</v>
      </c>
      <c r="N3" t="s">
        <v>112</v>
      </c>
      <c r="O3">
        <v>30</v>
      </c>
    </row>
    <row r="4" spans="1:15" x14ac:dyDescent="0.3">
      <c r="A4" t="s">
        <v>5</v>
      </c>
      <c r="B4" t="s">
        <v>112</v>
      </c>
      <c r="C4" t="s">
        <v>111</v>
      </c>
      <c r="D4" t="s">
        <v>114</v>
      </c>
      <c r="E4" t="s">
        <v>115</v>
      </c>
      <c r="F4" t="s">
        <v>113</v>
      </c>
      <c r="G4">
        <f t="shared" si="1"/>
        <v>30</v>
      </c>
      <c r="H4">
        <f t="shared" si="2"/>
        <v>15</v>
      </c>
      <c r="I4">
        <f t="shared" si="3"/>
        <v>36</v>
      </c>
      <c r="J4">
        <f t="shared" si="4"/>
        <v>18</v>
      </c>
      <c r="K4">
        <f t="shared" si="5"/>
        <v>10</v>
      </c>
      <c r="L4">
        <f t="shared" si="6"/>
        <v>109</v>
      </c>
      <c r="M4" t="s">
        <v>117</v>
      </c>
      <c r="N4" t="s">
        <v>113</v>
      </c>
      <c r="O4">
        <v>10</v>
      </c>
    </row>
    <row r="5" spans="1:15" x14ac:dyDescent="0.3">
      <c r="A5" t="s">
        <v>6</v>
      </c>
      <c r="B5" t="s">
        <v>114</v>
      </c>
      <c r="C5" t="s">
        <v>111</v>
      </c>
      <c r="D5" t="s">
        <v>112</v>
      </c>
      <c r="E5" t="s">
        <v>113</v>
      </c>
      <c r="F5" t="s">
        <v>115</v>
      </c>
      <c r="G5">
        <f t="shared" si="1"/>
        <v>36</v>
      </c>
      <c r="H5">
        <f t="shared" si="2"/>
        <v>15</v>
      </c>
      <c r="I5">
        <f t="shared" si="3"/>
        <v>30</v>
      </c>
      <c r="J5">
        <f t="shared" si="4"/>
        <v>10</v>
      </c>
      <c r="K5">
        <f t="shared" si="5"/>
        <v>18</v>
      </c>
      <c r="L5">
        <f t="shared" si="6"/>
        <v>109</v>
      </c>
      <c r="M5" t="s">
        <v>119</v>
      </c>
      <c r="N5" t="s">
        <v>114</v>
      </c>
      <c r="O5">
        <v>36</v>
      </c>
    </row>
    <row r="6" spans="1:15" x14ac:dyDescent="0.3">
      <c r="A6" t="s">
        <v>7</v>
      </c>
      <c r="B6" t="s">
        <v>112</v>
      </c>
      <c r="C6" t="s">
        <v>111</v>
      </c>
      <c r="D6" t="s">
        <v>113</v>
      </c>
      <c r="E6" t="s">
        <v>115</v>
      </c>
      <c r="F6" t="s">
        <v>114</v>
      </c>
      <c r="G6">
        <f t="shared" si="1"/>
        <v>30</v>
      </c>
      <c r="H6">
        <f t="shared" si="2"/>
        <v>15</v>
      </c>
      <c r="I6">
        <f t="shared" si="3"/>
        <v>10</v>
      </c>
      <c r="J6">
        <f t="shared" si="4"/>
        <v>18</v>
      </c>
      <c r="K6">
        <f t="shared" si="5"/>
        <v>36</v>
      </c>
      <c r="L6">
        <f t="shared" si="6"/>
        <v>109</v>
      </c>
      <c r="M6" t="s">
        <v>120</v>
      </c>
      <c r="N6" t="s">
        <v>115</v>
      </c>
      <c r="O6">
        <v>18</v>
      </c>
    </row>
    <row r="7" spans="1:15" x14ac:dyDescent="0.3">
      <c r="A7" t="s">
        <v>8</v>
      </c>
      <c r="B7" t="s">
        <v>114</v>
      </c>
      <c r="C7" t="s">
        <v>113</v>
      </c>
      <c r="D7" t="s">
        <v>111</v>
      </c>
      <c r="E7" t="s">
        <v>115</v>
      </c>
      <c r="F7" t="s">
        <v>112</v>
      </c>
      <c r="G7">
        <f t="shared" si="1"/>
        <v>36</v>
      </c>
      <c r="H7">
        <f t="shared" si="2"/>
        <v>10</v>
      </c>
      <c r="I7">
        <f t="shared" si="3"/>
        <v>15</v>
      </c>
      <c r="J7">
        <f t="shared" si="4"/>
        <v>18</v>
      </c>
      <c r="K7">
        <f t="shared" si="5"/>
        <v>30</v>
      </c>
      <c r="L7">
        <f t="shared" si="6"/>
        <v>109</v>
      </c>
    </row>
    <row r="8" spans="1:15" x14ac:dyDescent="0.3">
      <c r="A8" t="s">
        <v>9</v>
      </c>
      <c r="B8" t="s">
        <v>112</v>
      </c>
      <c r="C8" t="s">
        <v>111</v>
      </c>
      <c r="D8" t="s">
        <v>115</v>
      </c>
      <c r="E8" t="s">
        <v>114</v>
      </c>
      <c r="F8" t="s">
        <v>113</v>
      </c>
      <c r="G8">
        <f t="shared" si="1"/>
        <v>30</v>
      </c>
      <c r="H8">
        <f t="shared" si="2"/>
        <v>15</v>
      </c>
      <c r="I8">
        <f t="shared" si="3"/>
        <v>18</v>
      </c>
      <c r="J8">
        <f t="shared" si="4"/>
        <v>36</v>
      </c>
      <c r="K8">
        <f t="shared" si="5"/>
        <v>10</v>
      </c>
      <c r="L8">
        <f t="shared" si="6"/>
        <v>109</v>
      </c>
      <c r="N8" t="s">
        <v>121</v>
      </c>
      <c r="O8" t="s">
        <v>122</v>
      </c>
    </row>
    <row r="9" spans="1:15" x14ac:dyDescent="0.3">
      <c r="A9" t="s">
        <v>10</v>
      </c>
      <c r="B9" t="s">
        <v>113</v>
      </c>
      <c r="C9" t="s">
        <v>112</v>
      </c>
      <c r="D9" t="s">
        <v>114</v>
      </c>
      <c r="E9" t="s">
        <v>111</v>
      </c>
      <c r="F9" t="s">
        <v>115</v>
      </c>
      <c r="G9">
        <f t="shared" si="1"/>
        <v>10</v>
      </c>
      <c r="H9">
        <f t="shared" si="2"/>
        <v>30</v>
      </c>
      <c r="I9">
        <f t="shared" si="3"/>
        <v>36</v>
      </c>
      <c r="J9">
        <f t="shared" si="4"/>
        <v>15</v>
      </c>
      <c r="K9">
        <f t="shared" si="5"/>
        <v>18</v>
      </c>
      <c r="L9">
        <f t="shared" si="6"/>
        <v>109</v>
      </c>
      <c r="N9" t="s">
        <v>123</v>
      </c>
      <c r="O9" t="s">
        <v>124</v>
      </c>
    </row>
    <row r="10" spans="1:15" x14ac:dyDescent="0.3">
      <c r="A10" t="s">
        <v>11</v>
      </c>
      <c r="B10" t="s">
        <v>111</v>
      </c>
      <c r="C10" t="s">
        <v>115</v>
      </c>
      <c r="D10" t="s">
        <v>112</v>
      </c>
      <c r="E10" t="s">
        <v>113</v>
      </c>
      <c r="F10" t="s">
        <v>114</v>
      </c>
      <c r="G10">
        <f t="shared" si="1"/>
        <v>15</v>
      </c>
      <c r="H10">
        <f t="shared" si="2"/>
        <v>18</v>
      </c>
      <c r="I10">
        <f t="shared" si="3"/>
        <v>30</v>
      </c>
      <c r="J10">
        <f t="shared" si="4"/>
        <v>10</v>
      </c>
      <c r="K10">
        <f t="shared" si="5"/>
        <v>36</v>
      </c>
      <c r="L10">
        <f t="shared" si="6"/>
        <v>109</v>
      </c>
    </row>
    <row r="11" spans="1:15" x14ac:dyDescent="0.3">
      <c r="A11" t="s">
        <v>12</v>
      </c>
      <c r="B11" t="s">
        <v>114</v>
      </c>
      <c r="C11" t="s">
        <v>115</v>
      </c>
      <c r="D11" t="s">
        <v>112</v>
      </c>
      <c r="E11" t="s">
        <v>111</v>
      </c>
      <c r="F11" t="s">
        <v>113</v>
      </c>
      <c r="G11">
        <f t="shared" si="1"/>
        <v>36</v>
      </c>
      <c r="H11">
        <f t="shared" si="2"/>
        <v>18</v>
      </c>
      <c r="I11">
        <f t="shared" si="3"/>
        <v>30</v>
      </c>
      <c r="J11">
        <f t="shared" si="4"/>
        <v>15</v>
      </c>
      <c r="K11">
        <f t="shared" si="5"/>
        <v>10</v>
      </c>
      <c r="L11">
        <f t="shared" si="6"/>
        <v>109</v>
      </c>
    </row>
    <row r="12" spans="1:15" x14ac:dyDescent="0.3">
      <c r="A12" t="s">
        <v>13</v>
      </c>
      <c r="B12" t="s">
        <v>115</v>
      </c>
      <c r="C12" t="s">
        <v>113</v>
      </c>
      <c r="D12" t="s">
        <v>111</v>
      </c>
      <c r="E12" t="s">
        <v>112</v>
      </c>
      <c r="F12" t="s">
        <v>114</v>
      </c>
      <c r="G12">
        <f t="shared" si="1"/>
        <v>18</v>
      </c>
      <c r="H12">
        <f t="shared" si="2"/>
        <v>10</v>
      </c>
      <c r="I12">
        <f t="shared" si="3"/>
        <v>15</v>
      </c>
      <c r="J12">
        <f t="shared" si="4"/>
        <v>30</v>
      </c>
      <c r="K12">
        <f t="shared" si="5"/>
        <v>36</v>
      </c>
      <c r="L12">
        <f t="shared" si="6"/>
        <v>109</v>
      </c>
    </row>
    <row r="13" spans="1:15" x14ac:dyDescent="0.3">
      <c r="A13" t="s">
        <v>14</v>
      </c>
      <c r="B13" t="s">
        <v>113</v>
      </c>
      <c r="C13" t="s">
        <v>111</v>
      </c>
      <c r="D13" t="s">
        <v>114</v>
      </c>
      <c r="E13" t="s">
        <v>115</v>
      </c>
      <c r="F13" t="s">
        <v>112</v>
      </c>
      <c r="G13">
        <f t="shared" si="1"/>
        <v>10</v>
      </c>
      <c r="H13">
        <f t="shared" si="2"/>
        <v>15</v>
      </c>
      <c r="I13">
        <f t="shared" si="3"/>
        <v>36</v>
      </c>
      <c r="J13">
        <f t="shared" si="4"/>
        <v>18</v>
      </c>
      <c r="K13">
        <f t="shared" si="5"/>
        <v>30</v>
      </c>
      <c r="L13">
        <f t="shared" si="6"/>
        <v>109</v>
      </c>
    </row>
    <row r="14" spans="1:15" x14ac:dyDescent="0.3">
      <c r="A14" t="s">
        <v>15</v>
      </c>
      <c r="B14" t="s">
        <v>111</v>
      </c>
      <c r="C14" t="s">
        <v>115</v>
      </c>
      <c r="D14" t="s">
        <v>113</v>
      </c>
      <c r="E14" t="s">
        <v>112</v>
      </c>
      <c r="F14" t="s">
        <v>114</v>
      </c>
      <c r="G14">
        <f t="shared" si="1"/>
        <v>15</v>
      </c>
      <c r="H14">
        <f t="shared" si="2"/>
        <v>18</v>
      </c>
      <c r="I14">
        <f t="shared" si="3"/>
        <v>10</v>
      </c>
      <c r="J14">
        <f t="shared" si="4"/>
        <v>30</v>
      </c>
      <c r="K14">
        <f t="shared" si="5"/>
        <v>36</v>
      </c>
      <c r="L14">
        <f t="shared" si="6"/>
        <v>109</v>
      </c>
    </row>
    <row r="15" spans="1:15" x14ac:dyDescent="0.3">
      <c r="A15" t="s">
        <v>16</v>
      </c>
      <c r="B15" t="s">
        <v>115</v>
      </c>
      <c r="C15" t="s">
        <v>113</v>
      </c>
      <c r="D15" t="s">
        <v>111</v>
      </c>
      <c r="E15" t="s">
        <v>112</v>
      </c>
      <c r="F15" t="s">
        <v>114</v>
      </c>
      <c r="G15">
        <f t="shared" si="1"/>
        <v>18</v>
      </c>
      <c r="H15">
        <f t="shared" si="2"/>
        <v>10</v>
      </c>
      <c r="I15">
        <f t="shared" si="3"/>
        <v>15</v>
      </c>
      <c r="J15">
        <f t="shared" si="4"/>
        <v>30</v>
      </c>
      <c r="K15">
        <f t="shared" si="5"/>
        <v>36</v>
      </c>
      <c r="L15">
        <f t="shared" si="6"/>
        <v>109</v>
      </c>
    </row>
    <row r="16" spans="1:15" x14ac:dyDescent="0.3">
      <c r="A16" t="s">
        <v>17</v>
      </c>
      <c r="B16" t="s">
        <v>113</v>
      </c>
      <c r="C16" t="s">
        <v>115</v>
      </c>
      <c r="D16" t="s">
        <v>112</v>
      </c>
      <c r="E16" t="s">
        <v>111</v>
      </c>
      <c r="F16" t="s">
        <v>114</v>
      </c>
      <c r="G16">
        <f t="shared" si="1"/>
        <v>10</v>
      </c>
      <c r="H16">
        <f t="shared" si="2"/>
        <v>18</v>
      </c>
      <c r="I16">
        <f t="shared" si="3"/>
        <v>30</v>
      </c>
      <c r="J16">
        <f t="shared" si="4"/>
        <v>15</v>
      </c>
      <c r="K16">
        <f t="shared" si="5"/>
        <v>36</v>
      </c>
      <c r="L16">
        <f t="shared" si="6"/>
        <v>109</v>
      </c>
    </row>
    <row r="17" spans="1:12" x14ac:dyDescent="0.3">
      <c r="A17" t="s">
        <v>18</v>
      </c>
      <c r="B17" t="s">
        <v>115</v>
      </c>
      <c r="C17" t="s">
        <v>112</v>
      </c>
      <c r="D17" t="s">
        <v>114</v>
      </c>
      <c r="E17" t="s">
        <v>113</v>
      </c>
      <c r="F17" t="s">
        <v>111</v>
      </c>
      <c r="G17">
        <f t="shared" si="1"/>
        <v>18</v>
      </c>
      <c r="H17">
        <f t="shared" si="2"/>
        <v>30</v>
      </c>
      <c r="I17">
        <f t="shared" si="3"/>
        <v>36</v>
      </c>
      <c r="J17">
        <f t="shared" si="4"/>
        <v>10</v>
      </c>
      <c r="K17">
        <f t="shared" si="5"/>
        <v>15</v>
      </c>
      <c r="L17">
        <f t="shared" si="6"/>
        <v>109</v>
      </c>
    </row>
    <row r="18" spans="1:12" x14ac:dyDescent="0.3">
      <c r="A18" t="s">
        <v>19</v>
      </c>
      <c r="B18" t="s">
        <v>115</v>
      </c>
      <c r="C18" t="s">
        <v>113</v>
      </c>
      <c r="D18" t="s">
        <v>111</v>
      </c>
      <c r="E18" t="s">
        <v>114</v>
      </c>
      <c r="F18" t="s">
        <v>112</v>
      </c>
      <c r="G18">
        <f t="shared" si="1"/>
        <v>18</v>
      </c>
      <c r="H18">
        <f t="shared" si="2"/>
        <v>10</v>
      </c>
      <c r="I18">
        <f t="shared" si="3"/>
        <v>15</v>
      </c>
      <c r="J18">
        <f t="shared" si="4"/>
        <v>36</v>
      </c>
      <c r="K18">
        <f t="shared" si="5"/>
        <v>30</v>
      </c>
      <c r="L18">
        <f t="shared" si="6"/>
        <v>109</v>
      </c>
    </row>
    <row r="19" spans="1:12" x14ac:dyDescent="0.3">
      <c r="A19" t="s">
        <v>20</v>
      </c>
      <c r="B19" t="s">
        <v>114</v>
      </c>
      <c r="C19" t="s">
        <v>111</v>
      </c>
      <c r="D19" t="s">
        <v>113</v>
      </c>
      <c r="E19" t="s">
        <v>112</v>
      </c>
      <c r="F19" t="s">
        <v>115</v>
      </c>
      <c r="G19">
        <f t="shared" si="1"/>
        <v>36</v>
      </c>
      <c r="H19">
        <f t="shared" si="2"/>
        <v>15</v>
      </c>
      <c r="I19">
        <f t="shared" si="3"/>
        <v>10</v>
      </c>
      <c r="J19">
        <f t="shared" si="4"/>
        <v>30</v>
      </c>
      <c r="K19">
        <f t="shared" si="5"/>
        <v>18</v>
      </c>
      <c r="L19">
        <f t="shared" si="6"/>
        <v>109</v>
      </c>
    </row>
    <row r="20" spans="1:12" x14ac:dyDescent="0.3">
      <c r="A20" t="s">
        <v>21</v>
      </c>
      <c r="B20" t="s">
        <v>112</v>
      </c>
      <c r="C20" t="s">
        <v>111</v>
      </c>
      <c r="D20" t="s">
        <v>113</v>
      </c>
      <c r="E20" t="s">
        <v>115</v>
      </c>
      <c r="F20" t="s">
        <v>114</v>
      </c>
      <c r="G20">
        <f t="shared" si="1"/>
        <v>30</v>
      </c>
      <c r="H20">
        <f t="shared" si="2"/>
        <v>15</v>
      </c>
      <c r="I20">
        <f t="shared" si="3"/>
        <v>10</v>
      </c>
      <c r="J20">
        <f t="shared" si="4"/>
        <v>18</v>
      </c>
      <c r="K20">
        <f t="shared" si="5"/>
        <v>36</v>
      </c>
      <c r="L20">
        <f t="shared" si="6"/>
        <v>109</v>
      </c>
    </row>
    <row r="21" spans="1:12" x14ac:dyDescent="0.3">
      <c r="A21" t="s">
        <v>22</v>
      </c>
      <c r="B21" t="s">
        <v>113</v>
      </c>
      <c r="C21" t="s">
        <v>115</v>
      </c>
      <c r="D21" t="s">
        <v>114</v>
      </c>
      <c r="E21" t="s">
        <v>112</v>
      </c>
      <c r="F21" t="s">
        <v>111</v>
      </c>
      <c r="G21">
        <f t="shared" si="1"/>
        <v>10</v>
      </c>
      <c r="H21">
        <f t="shared" si="2"/>
        <v>18</v>
      </c>
      <c r="I21">
        <f t="shared" si="3"/>
        <v>36</v>
      </c>
      <c r="J21">
        <f t="shared" si="4"/>
        <v>30</v>
      </c>
      <c r="K21">
        <f t="shared" si="5"/>
        <v>15</v>
      </c>
      <c r="L21">
        <f t="shared" si="6"/>
        <v>109</v>
      </c>
    </row>
    <row r="22" spans="1:12" x14ac:dyDescent="0.3">
      <c r="A22" t="s">
        <v>23</v>
      </c>
      <c r="B22" t="s">
        <v>112</v>
      </c>
      <c r="C22" t="s">
        <v>114</v>
      </c>
      <c r="D22" t="s">
        <v>113</v>
      </c>
      <c r="E22" t="s">
        <v>111</v>
      </c>
      <c r="F22" t="s">
        <v>115</v>
      </c>
      <c r="G22">
        <f t="shared" si="1"/>
        <v>30</v>
      </c>
      <c r="H22">
        <f t="shared" si="2"/>
        <v>36</v>
      </c>
      <c r="I22">
        <f t="shared" si="3"/>
        <v>10</v>
      </c>
      <c r="J22">
        <f t="shared" si="4"/>
        <v>15</v>
      </c>
      <c r="K22">
        <f t="shared" si="5"/>
        <v>18</v>
      </c>
      <c r="L22">
        <f t="shared" si="6"/>
        <v>109</v>
      </c>
    </row>
    <row r="23" spans="1:12" x14ac:dyDescent="0.3">
      <c r="A23" t="s">
        <v>24</v>
      </c>
      <c r="B23" t="s">
        <v>112</v>
      </c>
      <c r="C23" t="s">
        <v>114</v>
      </c>
      <c r="D23" t="s">
        <v>111</v>
      </c>
      <c r="E23" t="s">
        <v>115</v>
      </c>
      <c r="F23" t="s">
        <v>113</v>
      </c>
      <c r="G23">
        <f t="shared" si="1"/>
        <v>30</v>
      </c>
      <c r="H23">
        <f t="shared" si="2"/>
        <v>36</v>
      </c>
      <c r="I23">
        <f t="shared" si="3"/>
        <v>15</v>
      </c>
      <c r="J23">
        <f t="shared" si="4"/>
        <v>18</v>
      </c>
      <c r="K23">
        <f t="shared" si="5"/>
        <v>10</v>
      </c>
      <c r="L23">
        <f t="shared" si="6"/>
        <v>109</v>
      </c>
    </row>
    <row r="24" spans="1:12" x14ac:dyDescent="0.3">
      <c r="A24" t="s">
        <v>25</v>
      </c>
      <c r="B24" t="s">
        <v>115</v>
      </c>
      <c r="C24" t="s">
        <v>114</v>
      </c>
      <c r="D24" t="s">
        <v>113</v>
      </c>
      <c r="E24" t="s">
        <v>112</v>
      </c>
      <c r="F24" t="s">
        <v>111</v>
      </c>
      <c r="G24">
        <f t="shared" si="1"/>
        <v>18</v>
      </c>
      <c r="H24">
        <f t="shared" si="2"/>
        <v>36</v>
      </c>
      <c r="I24">
        <f t="shared" si="3"/>
        <v>10</v>
      </c>
      <c r="J24">
        <f t="shared" si="4"/>
        <v>30</v>
      </c>
      <c r="K24">
        <f t="shared" si="5"/>
        <v>15</v>
      </c>
      <c r="L24">
        <f t="shared" si="6"/>
        <v>109</v>
      </c>
    </row>
    <row r="25" spans="1:12" x14ac:dyDescent="0.3">
      <c r="A25" t="s">
        <v>26</v>
      </c>
      <c r="B25" t="s">
        <v>113</v>
      </c>
      <c r="C25" t="s">
        <v>115</v>
      </c>
      <c r="D25" t="s">
        <v>112</v>
      </c>
      <c r="E25" t="s">
        <v>114</v>
      </c>
      <c r="F25" t="s">
        <v>111</v>
      </c>
      <c r="G25">
        <f t="shared" si="1"/>
        <v>10</v>
      </c>
      <c r="H25">
        <f t="shared" si="2"/>
        <v>18</v>
      </c>
      <c r="I25">
        <f t="shared" si="3"/>
        <v>30</v>
      </c>
      <c r="J25">
        <f t="shared" si="4"/>
        <v>36</v>
      </c>
      <c r="K25">
        <f t="shared" si="5"/>
        <v>15</v>
      </c>
      <c r="L25">
        <f t="shared" si="6"/>
        <v>109</v>
      </c>
    </row>
    <row r="26" spans="1:12" x14ac:dyDescent="0.3">
      <c r="A26" t="s">
        <v>27</v>
      </c>
      <c r="B26" t="s">
        <v>113</v>
      </c>
      <c r="C26" t="s">
        <v>111</v>
      </c>
      <c r="D26" t="s">
        <v>114</v>
      </c>
      <c r="E26" t="s">
        <v>112</v>
      </c>
      <c r="F26" t="s">
        <v>115</v>
      </c>
      <c r="G26">
        <f t="shared" si="1"/>
        <v>10</v>
      </c>
      <c r="H26">
        <f t="shared" si="2"/>
        <v>15</v>
      </c>
      <c r="I26">
        <f t="shared" si="3"/>
        <v>36</v>
      </c>
      <c r="J26">
        <f t="shared" si="4"/>
        <v>30</v>
      </c>
      <c r="K26">
        <f t="shared" si="5"/>
        <v>18</v>
      </c>
      <c r="L26">
        <f t="shared" si="6"/>
        <v>109</v>
      </c>
    </row>
    <row r="27" spans="1:12" x14ac:dyDescent="0.3">
      <c r="A27" t="s">
        <v>28</v>
      </c>
      <c r="B27" t="s">
        <v>115</v>
      </c>
      <c r="C27" t="s">
        <v>111</v>
      </c>
      <c r="D27" t="s">
        <v>113</v>
      </c>
      <c r="E27" t="s">
        <v>112</v>
      </c>
      <c r="F27" t="s">
        <v>114</v>
      </c>
      <c r="G27">
        <f t="shared" si="1"/>
        <v>18</v>
      </c>
      <c r="H27">
        <f t="shared" si="2"/>
        <v>15</v>
      </c>
      <c r="I27">
        <f t="shared" si="3"/>
        <v>10</v>
      </c>
      <c r="J27">
        <f t="shared" si="4"/>
        <v>30</v>
      </c>
      <c r="K27">
        <f t="shared" si="5"/>
        <v>36</v>
      </c>
      <c r="L27">
        <f t="shared" si="6"/>
        <v>109</v>
      </c>
    </row>
    <row r="28" spans="1:12" x14ac:dyDescent="0.3">
      <c r="A28" t="s">
        <v>29</v>
      </c>
      <c r="B28" t="s">
        <v>113</v>
      </c>
      <c r="C28" t="s">
        <v>112</v>
      </c>
      <c r="D28" t="s">
        <v>114</v>
      </c>
      <c r="E28" t="s">
        <v>115</v>
      </c>
      <c r="F28" t="s">
        <v>111</v>
      </c>
      <c r="G28">
        <f t="shared" si="1"/>
        <v>10</v>
      </c>
      <c r="H28">
        <f t="shared" si="2"/>
        <v>30</v>
      </c>
      <c r="I28">
        <f t="shared" si="3"/>
        <v>36</v>
      </c>
      <c r="J28">
        <f t="shared" si="4"/>
        <v>18</v>
      </c>
      <c r="K28">
        <f t="shared" si="5"/>
        <v>15</v>
      </c>
      <c r="L28">
        <f t="shared" si="6"/>
        <v>109</v>
      </c>
    </row>
    <row r="29" spans="1:12" x14ac:dyDescent="0.3">
      <c r="A29" t="s">
        <v>30</v>
      </c>
      <c r="B29" t="s">
        <v>112</v>
      </c>
      <c r="C29" t="s">
        <v>111</v>
      </c>
      <c r="D29" t="s">
        <v>113</v>
      </c>
      <c r="E29" t="s">
        <v>115</v>
      </c>
      <c r="F29" t="s">
        <v>114</v>
      </c>
      <c r="G29">
        <f t="shared" si="1"/>
        <v>30</v>
      </c>
      <c r="H29">
        <f t="shared" si="2"/>
        <v>15</v>
      </c>
      <c r="I29">
        <f t="shared" si="3"/>
        <v>10</v>
      </c>
      <c r="J29">
        <f t="shared" si="4"/>
        <v>18</v>
      </c>
      <c r="K29">
        <f t="shared" si="5"/>
        <v>36</v>
      </c>
      <c r="L29">
        <f t="shared" si="6"/>
        <v>109</v>
      </c>
    </row>
    <row r="30" spans="1:12" x14ac:dyDescent="0.3">
      <c r="A30" t="s">
        <v>31</v>
      </c>
      <c r="B30" t="s">
        <v>115</v>
      </c>
      <c r="C30" t="s">
        <v>114</v>
      </c>
      <c r="D30" t="s">
        <v>112</v>
      </c>
      <c r="E30" t="s">
        <v>111</v>
      </c>
      <c r="F30" t="s">
        <v>113</v>
      </c>
      <c r="G30">
        <f t="shared" si="1"/>
        <v>18</v>
      </c>
      <c r="H30">
        <f t="shared" si="2"/>
        <v>36</v>
      </c>
      <c r="I30">
        <f t="shared" si="3"/>
        <v>30</v>
      </c>
      <c r="J30">
        <f t="shared" si="4"/>
        <v>15</v>
      </c>
      <c r="K30">
        <f t="shared" si="5"/>
        <v>10</v>
      </c>
      <c r="L30">
        <f t="shared" si="6"/>
        <v>109</v>
      </c>
    </row>
    <row r="31" spans="1:12" x14ac:dyDescent="0.3">
      <c r="A31" t="s">
        <v>32</v>
      </c>
      <c r="B31" t="s">
        <v>114</v>
      </c>
      <c r="C31" t="s">
        <v>113</v>
      </c>
      <c r="D31" t="s">
        <v>111</v>
      </c>
      <c r="E31" t="s">
        <v>112</v>
      </c>
      <c r="F31" t="s">
        <v>115</v>
      </c>
      <c r="G31">
        <f t="shared" si="1"/>
        <v>36</v>
      </c>
      <c r="H31">
        <f t="shared" si="2"/>
        <v>10</v>
      </c>
      <c r="I31">
        <f t="shared" si="3"/>
        <v>15</v>
      </c>
      <c r="J31">
        <f t="shared" si="4"/>
        <v>30</v>
      </c>
      <c r="K31">
        <f t="shared" si="5"/>
        <v>18</v>
      </c>
      <c r="L31">
        <f t="shared" si="6"/>
        <v>109</v>
      </c>
    </row>
    <row r="32" spans="1:12" x14ac:dyDescent="0.3">
      <c r="A32" t="s">
        <v>33</v>
      </c>
      <c r="B32" t="s">
        <v>115</v>
      </c>
      <c r="C32" t="s">
        <v>114</v>
      </c>
      <c r="D32" t="s">
        <v>111</v>
      </c>
      <c r="E32" t="s">
        <v>112</v>
      </c>
      <c r="F32" t="s">
        <v>113</v>
      </c>
      <c r="G32">
        <f t="shared" si="1"/>
        <v>18</v>
      </c>
      <c r="H32">
        <f t="shared" si="2"/>
        <v>36</v>
      </c>
      <c r="I32">
        <f t="shared" si="3"/>
        <v>15</v>
      </c>
      <c r="J32">
        <f t="shared" si="4"/>
        <v>30</v>
      </c>
      <c r="K32">
        <f t="shared" si="5"/>
        <v>10</v>
      </c>
      <c r="L32">
        <f t="shared" si="6"/>
        <v>109</v>
      </c>
    </row>
    <row r="33" spans="1:12" x14ac:dyDescent="0.3">
      <c r="A33" t="s">
        <v>34</v>
      </c>
      <c r="B33" t="s">
        <v>111</v>
      </c>
      <c r="C33" t="s">
        <v>113</v>
      </c>
      <c r="D33" t="s">
        <v>115</v>
      </c>
      <c r="E33" t="s">
        <v>114</v>
      </c>
      <c r="F33" t="s">
        <v>112</v>
      </c>
      <c r="G33">
        <f t="shared" si="1"/>
        <v>15</v>
      </c>
      <c r="H33">
        <f t="shared" si="2"/>
        <v>10</v>
      </c>
      <c r="I33">
        <f t="shared" si="3"/>
        <v>18</v>
      </c>
      <c r="J33">
        <f t="shared" si="4"/>
        <v>36</v>
      </c>
      <c r="K33">
        <f t="shared" si="5"/>
        <v>30</v>
      </c>
      <c r="L33">
        <f t="shared" si="6"/>
        <v>109</v>
      </c>
    </row>
    <row r="34" spans="1:12" x14ac:dyDescent="0.3">
      <c r="A34" t="s">
        <v>35</v>
      </c>
      <c r="B34" t="s">
        <v>113</v>
      </c>
      <c r="C34" t="s">
        <v>114</v>
      </c>
      <c r="D34" t="s">
        <v>111</v>
      </c>
      <c r="E34" t="s">
        <v>115</v>
      </c>
      <c r="F34" t="s">
        <v>112</v>
      </c>
      <c r="G34">
        <f t="shared" si="1"/>
        <v>10</v>
      </c>
      <c r="H34">
        <f t="shared" si="2"/>
        <v>36</v>
      </c>
      <c r="I34">
        <f t="shared" si="3"/>
        <v>15</v>
      </c>
      <c r="J34">
        <f t="shared" si="4"/>
        <v>18</v>
      </c>
      <c r="K34">
        <f t="shared" si="5"/>
        <v>30</v>
      </c>
      <c r="L34">
        <f t="shared" si="6"/>
        <v>109</v>
      </c>
    </row>
    <row r="35" spans="1:12" x14ac:dyDescent="0.3">
      <c r="A35" t="s">
        <v>36</v>
      </c>
      <c r="B35" t="s">
        <v>111</v>
      </c>
      <c r="C35" t="s">
        <v>113</v>
      </c>
      <c r="D35" t="s">
        <v>115</v>
      </c>
      <c r="E35" t="s">
        <v>114</v>
      </c>
      <c r="F35" t="s">
        <v>112</v>
      </c>
      <c r="G35">
        <f t="shared" si="1"/>
        <v>15</v>
      </c>
      <c r="H35">
        <f t="shared" si="2"/>
        <v>10</v>
      </c>
      <c r="I35">
        <f t="shared" si="3"/>
        <v>18</v>
      </c>
      <c r="J35">
        <f t="shared" si="4"/>
        <v>36</v>
      </c>
      <c r="K35">
        <f t="shared" si="5"/>
        <v>30</v>
      </c>
      <c r="L35">
        <f t="shared" si="6"/>
        <v>109</v>
      </c>
    </row>
    <row r="36" spans="1:12" x14ac:dyDescent="0.3">
      <c r="A36" t="s">
        <v>37</v>
      </c>
      <c r="B36" t="s">
        <v>113</v>
      </c>
      <c r="C36" t="s">
        <v>114</v>
      </c>
      <c r="D36" t="s">
        <v>111</v>
      </c>
      <c r="E36" t="s">
        <v>112</v>
      </c>
      <c r="F36" t="s">
        <v>115</v>
      </c>
      <c r="G36">
        <f t="shared" si="1"/>
        <v>10</v>
      </c>
      <c r="H36">
        <f t="shared" si="2"/>
        <v>36</v>
      </c>
      <c r="I36">
        <f t="shared" si="3"/>
        <v>15</v>
      </c>
      <c r="J36">
        <f t="shared" si="4"/>
        <v>30</v>
      </c>
      <c r="K36">
        <f t="shared" si="5"/>
        <v>18</v>
      </c>
      <c r="L36">
        <f t="shared" si="6"/>
        <v>109</v>
      </c>
    </row>
    <row r="37" spans="1:12" x14ac:dyDescent="0.3">
      <c r="A37" t="s">
        <v>38</v>
      </c>
      <c r="B37" t="s">
        <v>111</v>
      </c>
      <c r="C37" t="s">
        <v>114</v>
      </c>
      <c r="D37" t="s">
        <v>115</v>
      </c>
      <c r="E37" t="s">
        <v>112</v>
      </c>
      <c r="F37" t="s">
        <v>113</v>
      </c>
      <c r="G37">
        <f t="shared" si="1"/>
        <v>15</v>
      </c>
      <c r="H37">
        <f t="shared" si="2"/>
        <v>36</v>
      </c>
      <c r="I37">
        <f t="shared" si="3"/>
        <v>18</v>
      </c>
      <c r="J37">
        <f t="shared" si="4"/>
        <v>30</v>
      </c>
      <c r="K37">
        <f t="shared" si="5"/>
        <v>10</v>
      </c>
      <c r="L37">
        <f t="shared" si="6"/>
        <v>109</v>
      </c>
    </row>
    <row r="38" spans="1:12" x14ac:dyDescent="0.3">
      <c r="A38" t="s">
        <v>39</v>
      </c>
      <c r="B38" t="s">
        <v>113</v>
      </c>
      <c r="C38" t="s">
        <v>115</v>
      </c>
      <c r="D38" t="s">
        <v>114</v>
      </c>
      <c r="E38" t="s">
        <v>112</v>
      </c>
      <c r="F38" t="s">
        <v>111</v>
      </c>
      <c r="G38">
        <f t="shared" si="1"/>
        <v>10</v>
      </c>
      <c r="H38">
        <f t="shared" si="2"/>
        <v>18</v>
      </c>
      <c r="I38">
        <f t="shared" si="3"/>
        <v>36</v>
      </c>
      <c r="J38">
        <f t="shared" si="4"/>
        <v>30</v>
      </c>
      <c r="K38">
        <f t="shared" si="5"/>
        <v>15</v>
      </c>
      <c r="L38">
        <f t="shared" si="6"/>
        <v>109</v>
      </c>
    </row>
    <row r="39" spans="1:12" x14ac:dyDescent="0.3">
      <c r="A39" t="s">
        <v>40</v>
      </c>
      <c r="B39" t="s">
        <v>111</v>
      </c>
      <c r="C39" t="s">
        <v>114</v>
      </c>
      <c r="D39" t="s">
        <v>112</v>
      </c>
      <c r="E39" t="s">
        <v>115</v>
      </c>
      <c r="F39" t="s">
        <v>113</v>
      </c>
      <c r="G39">
        <f t="shared" si="1"/>
        <v>15</v>
      </c>
      <c r="H39">
        <f t="shared" si="2"/>
        <v>36</v>
      </c>
      <c r="I39">
        <f t="shared" si="3"/>
        <v>30</v>
      </c>
      <c r="J39">
        <f t="shared" si="4"/>
        <v>18</v>
      </c>
      <c r="K39">
        <f t="shared" si="5"/>
        <v>10</v>
      </c>
      <c r="L39">
        <f t="shared" si="6"/>
        <v>109</v>
      </c>
    </row>
    <row r="40" spans="1:12" x14ac:dyDescent="0.3">
      <c r="A40" t="s">
        <v>41</v>
      </c>
      <c r="B40" t="s">
        <v>112</v>
      </c>
      <c r="C40" t="s">
        <v>115</v>
      </c>
      <c r="D40" t="s">
        <v>114</v>
      </c>
      <c r="E40" t="s">
        <v>113</v>
      </c>
      <c r="F40" t="s">
        <v>111</v>
      </c>
      <c r="G40">
        <f t="shared" si="1"/>
        <v>30</v>
      </c>
      <c r="H40">
        <f t="shared" si="2"/>
        <v>18</v>
      </c>
      <c r="I40">
        <f t="shared" si="3"/>
        <v>36</v>
      </c>
      <c r="J40">
        <f t="shared" si="4"/>
        <v>10</v>
      </c>
      <c r="K40">
        <f t="shared" si="5"/>
        <v>15</v>
      </c>
      <c r="L40">
        <f t="shared" si="6"/>
        <v>109</v>
      </c>
    </row>
    <row r="41" spans="1:12" x14ac:dyDescent="0.3">
      <c r="A41" t="s">
        <v>42</v>
      </c>
      <c r="B41" t="s">
        <v>113</v>
      </c>
      <c r="C41" t="s">
        <v>114</v>
      </c>
      <c r="D41" t="s">
        <v>112</v>
      </c>
      <c r="E41" t="s">
        <v>115</v>
      </c>
      <c r="F41" t="s">
        <v>111</v>
      </c>
      <c r="G41">
        <f t="shared" si="1"/>
        <v>10</v>
      </c>
      <c r="H41">
        <f t="shared" si="2"/>
        <v>36</v>
      </c>
      <c r="I41">
        <f t="shared" si="3"/>
        <v>30</v>
      </c>
      <c r="J41">
        <f t="shared" si="4"/>
        <v>18</v>
      </c>
      <c r="K41">
        <f t="shared" si="5"/>
        <v>15</v>
      </c>
      <c r="L41">
        <f t="shared" si="6"/>
        <v>109</v>
      </c>
    </row>
    <row r="42" spans="1:12" x14ac:dyDescent="0.3">
      <c r="A42" t="s">
        <v>43</v>
      </c>
      <c r="B42" t="s">
        <v>111</v>
      </c>
      <c r="C42" t="s">
        <v>115</v>
      </c>
      <c r="D42" t="s">
        <v>113</v>
      </c>
      <c r="E42" t="s">
        <v>112</v>
      </c>
      <c r="F42" t="s">
        <v>114</v>
      </c>
      <c r="G42">
        <f t="shared" si="1"/>
        <v>15</v>
      </c>
      <c r="H42">
        <f t="shared" si="2"/>
        <v>18</v>
      </c>
      <c r="I42">
        <f t="shared" si="3"/>
        <v>10</v>
      </c>
      <c r="J42">
        <f t="shared" si="4"/>
        <v>30</v>
      </c>
      <c r="K42">
        <f t="shared" si="5"/>
        <v>36</v>
      </c>
      <c r="L42">
        <f t="shared" si="6"/>
        <v>109</v>
      </c>
    </row>
    <row r="43" spans="1:12" x14ac:dyDescent="0.3">
      <c r="A43" t="s">
        <v>44</v>
      </c>
      <c r="B43" t="s">
        <v>114</v>
      </c>
      <c r="C43" t="s">
        <v>113</v>
      </c>
      <c r="D43" t="s">
        <v>111</v>
      </c>
      <c r="E43" t="s">
        <v>112</v>
      </c>
      <c r="F43" t="s">
        <v>115</v>
      </c>
      <c r="G43">
        <f t="shared" si="1"/>
        <v>36</v>
      </c>
      <c r="H43">
        <f t="shared" si="2"/>
        <v>10</v>
      </c>
      <c r="I43">
        <f t="shared" si="3"/>
        <v>15</v>
      </c>
      <c r="J43">
        <f t="shared" si="4"/>
        <v>30</v>
      </c>
      <c r="K43">
        <f t="shared" si="5"/>
        <v>18</v>
      </c>
      <c r="L43">
        <f t="shared" si="6"/>
        <v>109</v>
      </c>
    </row>
    <row r="44" spans="1:12" x14ac:dyDescent="0.3">
      <c r="A44" t="s">
        <v>45</v>
      </c>
      <c r="B44" t="s">
        <v>111</v>
      </c>
      <c r="C44" t="s">
        <v>115</v>
      </c>
      <c r="D44" t="s">
        <v>114</v>
      </c>
      <c r="E44" t="s">
        <v>112</v>
      </c>
      <c r="F44" t="s">
        <v>113</v>
      </c>
      <c r="G44">
        <f t="shared" si="1"/>
        <v>15</v>
      </c>
      <c r="H44">
        <f t="shared" si="2"/>
        <v>18</v>
      </c>
      <c r="I44">
        <f t="shared" si="3"/>
        <v>36</v>
      </c>
      <c r="J44">
        <f t="shared" si="4"/>
        <v>30</v>
      </c>
      <c r="K44">
        <f t="shared" si="5"/>
        <v>10</v>
      </c>
      <c r="L44">
        <f t="shared" si="6"/>
        <v>109</v>
      </c>
    </row>
    <row r="45" spans="1:12" x14ac:dyDescent="0.3">
      <c r="A45" t="s">
        <v>46</v>
      </c>
      <c r="B45" t="s">
        <v>113</v>
      </c>
      <c r="C45" t="s">
        <v>111</v>
      </c>
      <c r="D45" t="s">
        <v>115</v>
      </c>
      <c r="E45" t="s">
        <v>114</v>
      </c>
      <c r="F45" t="s">
        <v>112</v>
      </c>
      <c r="G45">
        <f t="shared" si="1"/>
        <v>10</v>
      </c>
      <c r="H45">
        <f t="shared" si="2"/>
        <v>15</v>
      </c>
      <c r="I45">
        <f t="shared" si="3"/>
        <v>18</v>
      </c>
      <c r="J45">
        <f t="shared" si="4"/>
        <v>36</v>
      </c>
      <c r="K45">
        <f t="shared" si="5"/>
        <v>30</v>
      </c>
      <c r="L45">
        <f t="shared" si="6"/>
        <v>109</v>
      </c>
    </row>
    <row r="46" spans="1:12" x14ac:dyDescent="0.3">
      <c r="A46" t="s">
        <v>47</v>
      </c>
      <c r="B46" t="s">
        <v>111</v>
      </c>
      <c r="C46" t="s">
        <v>113</v>
      </c>
      <c r="D46" t="s">
        <v>115</v>
      </c>
      <c r="E46" t="s">
        <v>112</v>
      </c>
      <c r="F46" t="s">
        <v>114</v>
      </c>
      <c r="G46">
        <f t="shared" si="1"/>
        <v>15</v>
      </c>
      <c r="H46">
        <f t="shared" si="2"/>
        <v>10</v>
      </c>
      <c r="I46">
        <f t="shared" si="3"/>
        <v>18</v>
      </c>
      <c r="J46">
        <f t="shared" si="4"/>
        <v>30</v>
      </c>
      <c r="K46">
        <f t="shared" si="5"/>
        <v>36</v>
      </c>
      <c r="L46">
        <f t="shared" si="6"/>
        <v>109</v>
      </c>
    </row>
    <row r="47" spans="1:12" x14ac:dyDescent="0.3">
      <c r="A47" t="s">
        <v>48</v>
      </c>
      <c r="B47" t="s">
        <v>115</v>
      </c>
      <c r="C47" t="s">
        <v>112</v>
      </c>
      <c r="D47" t="s">
        <v>111</v>
      </c>
      <c r="E47" t="s">
        <v>113</v>
      </c>
      <c r="F47" t="s">
        <v>114</v>
      </c>
      <c r="G47">
        <f t="shared" si="1"/>
        <v>18</v>
      </c>
      <c r="H47">
        <f t="shared" si="2"/>
        <v>30</v>
      </c>
      <c r="I47">
        <f t="shared" si="3"/>
        <v>15</v>
      </c>
      <c r="J47">
        <f t="shared" si="4"/>
        <v>10</v>
      </c>
      <c r="K47">
        <f t="shared" si="5"/>
        <v>36</v>
      </c>
      <c r="L47">
        <f t="shared" si="6"/>
        <v>109</v>
      </c>
    </row>
    <row r="48" spans="1:12" x14ac:dyDescent="0.3">
      <c r="A48" t="s">
        <v>49</v>
      </c>
      <c r="B48" t="s">
        <v>114</v>
      </c>
      <c r="C48" t="s">
        <v>112</v>
      </c>
      <c r="D48" t="s">
        <v>113</v>
      </c>
      <c r="E48" t="s">
        <v>115</v>
      </c>
      <c r="F48" t="s">
        <v>111</v>
      </c>
      <c r="G48">
        <f t="shared" si="1"/>
        <v>36</v>
      </c>
      <c r="H48">
        <f t="shared" si="2"/>
        <v>30</v>
      </c>
      <c r="I48">
        <f t="shared" si="3"/>
        <v>10</v>
      </c>
      <c r="J48">
        <f t="shared" si="4"/>
        <v>18</v>
      </c>
      <c r="K48">
        <f t="shared" si="5"/>
        <v>15</v>
      </c>
      <c r="L48">
        <f t="shared" si="6"/>
        <v>109</v>
      </c>
    </row>
    <row r="49" spans="1:12" x14ac:dyDescent="0.3">
      <c r="A49" t="s">
        <v>50</v>
      </c>
      <c r="B49" t="s">
        <v>111</v>
      </c>
      <c r="C49" t="s">
        <v>112</v>
      </c>
      <c r="D49" t="s">
        <v>114</v>
      </c>
      <c r="E49" t="s">
        <v>115</v>
      </c>
      <c r="F49" t="s">
        <v>113</v>
      </c>
      <c r="G49">
        <f t="shared" si="1"/>
        <v>15</v>
      </c>
      <c r="H49">
        <f t="shared" si="2"/>
        <v>30</v>
      </c>
      <c r="I49">
        <f t="shared" si="3"/>
        <v>36</v>
      </c>
      <c r="J49">
        <f t="shared" si="4"/>
        <v>18</v>
      </c>
      <c r="K49">
        <f t="shared" si="5"/>
        <v>10</v>
      </c>
      <c r="L49">
        <f t="shared" si="6"/>
        <v>109</v>
      </c>
    </row>
    <row r="50" spans="1:12" x14ac:dyDescent="0.3">
      <c r="A50" t="s">
        <v>51</v>
      </c>
      <c r="B50" t="s">
        <v>113</v>
      </c>
      <c r="C50" t="s">
        <v>114</v>
      </c>
      <c r="D50" t="s">
        <v>112</v>
      </c>
      <c r="E50" t="s">
        <v>111</v>
      </c>
      <c r="F50" t="s">
        <v>115</v>
      </c>
      <c r="G50">
        <f t="shared" si="1"/>
        <v>10</v>
      </c>
      <c r="H50">
        <f t="shared" si="2"/>
        <v>36</v>
      </c>
      <c r="I50">
        <f t="shared" si="3"/>
        <v>30</v>
      </c>
      <c r="J50">
        <f t="shared" si="4"/>
        <v>15</v>
      </c>
      <c r="K50">
        <f t="shared" si="5"/>
        <v>18</v>
      </c>
      <c r="L50">
        <f t="shared" si="6"/>
        <v>109</v>
      </c>
    </row>
    <row r="51" spans="1:12" x14ac:dyDescent="0.3">
      <c r="A51" t="s">
        <v>52</v>
      </c>
      <c r="B51" t="s">
        <v>111</v>
      </c>
      <c r="C51" t="s">
        <v>113</v>
      </c>
      <c r="D51" t="s">
        <v>114</v>
      </c>
      <c r="E51" t="s">
        <v>112</v>
      </c>
      <c r="F51" t="s">
        <v>115</v>
      </c>
      <c r="G51">
        <f t="shared" si="1"/>
        <v>15</v>
      </c>
      <c r="H51">
        <f t="shared" si="2"/>
        <v>10</v>
      </c>
      <c r="I51">
        <f t="shared" si="3"/>
        <v>36</v>
      </c>
      <c r="J51">
        <f t="shared" si="4"/>
        <v>30</v>
      </c>
      <c r="K51">
        <f t="shared" si="5"/>
        <v>18</v>
      </c>
      <c r="L51">
        <f t="shared" si="6"/>
        <v>109</v>
      </c>
    </row>
    <row r="52" spans="1:12" x14ac:dyDescent="0.3">
      <c r="A52" t="s">
        <v>53</v>
      </c>
      <c r="B52" t="s">
        <v>111</v>
      </c>
      <c r="C52" t="s">
        <v>113</v>
      </c>
      <c r="D52" t="s">
        <v>115</v>
      </c>
      <c r="E52" t="s">
        <v>114</v>
      </c>
      <c r="F52" t="s">
        <v>112</v>
      </c>
      <c r="G52">
        <f t="shared" si="1"/>
        <v>15</v>
      </c>
      <c r="H52">
        <f t="shared" si="2"/>
        <v>10</v>
      </c>
      <c r="I52">
        <f t="shared" si="3"/>
        <v>18</v>
      </c>
      <c r="J52">
        <f t="shared" si="4"/>
        <v>36</v>
      </c>
      <c r="K52">
        <f t="shared" si="5"/>
        <v>30</v>
      </c>
      <c r="L52">
        <f t="shared" si="6"/>
        <v>109</v>
      </c>
    </row>
    <row r="53" spans="1:12" x14ac:dyDescent="0.3">
      <c r="A53" t="s">
        <v>54</v>
      </c>
      <c r="B53" t="s">
        <v>114</v>
      </c>
      <c r="C53" t="s">
        <v>113</v>
      </c>
      <c r="D53" t="s">
        <v>115</v>
      </c>
      <c r="E53" t="s">
        <v>111</v>
      </c>
      <c r="F53" t="s">
        <v>112</v>
      </c>
      <c r="G53">
        <f t="shared" si="1"/>
        <v>36</v>
      </c>
      <c r="H53">
        <f t="shared" si="2"/>
        <v>10</v>
      </c>
      <c r="I53">
        <f t="shared" si="3"/>
        <v>18</v>
      </c>
      <c r="J53">
        <f t="shared" si="4"/>
        <v>15</v>
      </c>
      <c r="K53">
        <f t="shared" si="5"/>
        <v>30</v>
      </c>
      <c r="L53">
        <f t="shared" si="6"/>
        <v>109</v>
      </c>
    </row>
    <row r="54" spans="1:12" x14ac:dyDescent="0.3">
      <c r="A54" t="s">
        <v>55</v>
      </c>
      <c r="B54" t="s">
        <v>114</v>
      </c>
      <c r="C54" t="s">
        <v>111</v>
      </c>
      <c r="D54" t="s">
        <v>113</v>
      </c>
      <c r="E54" t="s">
        <v>115</v>
      </c>
      <c r="F54" t="s">
        <v>112</v>
      </c>
      <c r="G54">
        <f t="shared" si="1"/>
        <v>36</v>
      </c>
      <c r="H54">
        <f t="shared" si="2"/>
        <v>15</v>
      </c>
      <c r="I54">
        <f t="shared" si="3"/>
        <v>10</v>
      </c>
      <c r="J54">
        <f t="shared" si="4"/>
        <v>18</v>
      </c>
      <c r="K54">
        <f t="shared" si="5"/>
        <v>30</v>
      </c>
      <c r="L54">
        <f t="shared" si="6"/>
        <v>109</v>
      </c>
    </row>
    <row r="55" spans="1:12" x14ac:dyDescent="0.3">
      <c r="A55" t="s">
        <v>56</v>
      </c>
      <c r="B55" t="s">
        <v>114</v>
      </c>
      <c r="C55" t="s">
        <v>113</v>
      </c>
      <c r="D55" t="s">
        <v>115</v>
      </c>
      <c r="E55" t="s">
        <v>111</v>
      </c>
      <c r="F55" t="s">
        <v>112</v>
      </c>
      <c r="G55">
        <f t="shared" si="1"/>
        <v>36</v>
      </c>
      <c r="H55">
        <f t="shared" si="2"/>
        <v>10</v>
      </c>
      <c r="I55">
        <f t="shared" si="3"/>
        <v>18</v>
      </c>
      <c r="J55">
        <f t="shared" si="4"/>
        <v>15</v>
      </c>
      <c r="K55">
        <f t="shared" si="5"/>
        <v>30</v>
      </c>
      <c r="L55">
        <f t="shared" si="6"/>
        <v>109</v>
      </c>
    </row>
    <row r="56" spans="1:12" x14ac:dyDescent="0.3">
      <c r="A56" t="s">
        <v>57</v>
      </c>
      <c r="B56" t="s">
        <v>115</v>
      </c>
      <c r="C56" t="s">
        <v>113</v>
      </c>
      <c r="D56" t="s">
        <v>111</v>
      </c>
      <c r="E56" t="s">
        <v>112</v>
      </c>
      <c r="F56" t="s">
        <v>114</v>
      </c>
      <c r="G56">
        <f t="shared" si="1"/>
        <v>18</v>
      </c>
      <c r="H56">
        <f t="shared" si="2"/>
        <v>10</v>
      </c>
      <c r="I56">
        <f t="shared" si="3"/>
        <v>15</v>
      </c>
      <c r="J56">
        <f t="shared" si="4"/>
        <v>30</v>
      </c>
      <c r="K56">
        <f t="shared" si="5"/>
        <v>36</v>
      </c>
      <c r="L56">
        <f t="shared" si="6"/>
        <v>109</v>
      </c>
    </row>
    <row r="57" spans="1:12" x14ac:dyDescent="0.3">
      <c r="A57" t="s">
        <v>58</v>
      </c>
      <c r="B57" t="s">
        <v>115</v>
      </c>
      <c r="C57" t="s">
        <v>111</v>
      </c>
      <c r="D57" t="s">
        <v>112</v>
      </c>
      <c r="E57" t="s">
        <v>113</v>
      </c>
      <c r="F57" t="s">
        <v>114</v>
      </c>
      <c r="G57">
        <f t="shared" si="1"/>
        <v>18</v>
      </c>
      <c r="H57">
        <f t="shared" si="2"/>
        <v>15</v>
      </c>
      <c r="I57">
        <f t="shared" si="3"/>
        <v>30</v>
      </c>
      <c r="J57">
        <f t="shared" si="4"/>
        <v>10</v>
      </c>
      <c r="K57">
        <f t="shared" si="5"/>
        <v>36</v>
      </c>
      <c r="L57">
        <f t="shared" si="6"/>
        <v>109</v>
      </c>
    </row>
    <row r="58" spans="1:12" x14ac:dyDescent="0.3">
      <c r="A58" t="s">
        <v>59</v>
      </c>
      <c r="B58" t="s">
        <v>114</v>
      </c>
      <c r="C58" t="s">
        <v>115</v>
      </c>
      <c r="D58" t="s">
        <v>112</v>
      </c>
      <c r="E58" t="s">
        <v>113</v>
      </c>
      <c r="F58" t="s">
        <v>111</v>
      </c>
      <c r="G58">
        <f t="shared" si="1"/>
        <v>36</v>
      </c>
      <c r="H58">
        <f t="shared" si="2"/>
        <v>18</v>
      </c>
      <c r="I58">
        <f t="shared" si="3"/>
        <v>30</v>
      </c>
      <c r="J58">
        <f t="shared" si="4"/>
        <v>10</v>
      </c>
      <c r="K58">
        <f t="shared" si="5"/>
        <v>15</v>
      </c>
      <c r="L58">
        <f t="shared" si="6"/>
        <v>109</v>
      </c>
    </row>
    <row r="59" spans="1:12" x14ac:dyDescent="0.3">
      <c r="A59" t="s">
        <v>60</v>
      </c>
      <c r="B59" t="s">
        <v>114</v>
      </c>
      <c r="C59" t="s">
        <v>111</v>
      </c>
      <c r="D59" t="s">
        <v>115</v>
      </c>
      <c r="E59" t="s">
        <v>112</v>
      </c>
      <c r="F59" t="s">
        <v>113</v>
      </c>
      <c r="G59">
        <f t="shared" si="1"/>
        <v>36</v>
      </c>
      <c r="H59">
        <f t="shared" si="2"/>
        <v>15</v>
      </c>
      <c r="I59">
        <f t="shared" si="3"/>
        <v>18</v>
      </c>
      <c r="J59">
        <f t="shared" si="4"/>
        <v>30</v>
      </c>
      <c r="K59">
        <f t="shared" si="5"/>
        <v>10</v>
      </c>
      <c r="L59">
        <f t="shared" si="6"/>
        <v>109</v>
      </c>
    </row>
    <row r="60" spans="1:12" x14ac:dyDescent="0.3">
      <c r="A60" t="s">
        <v>61</v>
      </c>
      <c r="B60" t="s">
        <v>114</v>
      </c>
      <c r="C60" t="s">
        <v>113</v>
      </c>
      <c r="D60" t="s">
        <v>112</v>
      </c>
      <c r="E60" t="s">
        <v>111</v>
      </c>
      <c r="F60" t="s">
        <v>115</v>
      </c>
      <c r="G60">
        <f t="shared" si="1"/>
        <v>36</v>
      </c>
      <c r="H60">
        <f t="shared" si="2"/>
        <v>10</v>
      </c>
      <c r="I60">
        <f t="shared" si="3"/>
        <v>30</v>
      </c>
      <c r="J60">
        <f t="shared" si="4"/>
        <v>15</v>
      </c>
      <c r="K60">
        <f t="shared" si="5"/>
        <v>18</v>
      </c>
      <c r="L60">
        <f t="shared" si="6"/>
        <v>109</v>
      </c>
    </row>
    <row r="61" spans="1:12" x14ac:dyDescent="0.3">
      <c r="A61" t="s">
        <v>62</v>
      </c>
      <c r="B61" t="s">
        <v>113</v>
      </c>
      <c r="C61" t="s">
        <v>114</v>
      </c>
      <c r="D61" t="s">
        <v>115</v>
      </c>
      <c r="E61" t="s">
        <v>111</v>
      </c>
      <c r="F61" t="s">
        <v>112</v>
      </c>
      <c r="G61">
        <f t="shared" si="1"/>
        <v>10</v>
      </c>
      <c r="H61">
        <f t="shared" si="2"/>
        <v>36</v>
      </c>
      <c r="I61">
        <f t="shared" si="3"/>
        <v>18</v>
      </c>
      <c r="J61">
        <f t="shared" si="4"/>
        <v>15</v>
      </c>
      <c r="K61">
        <f t="shared" si="5"/>
        <v>30</v>
      </c>
      <c r="L61">
        <f t="shared" si="6"/>
        <v>109</v>
      </c>
    </row>
    <row r="62" spans="1:12" x14ac:dyDescent="0.3">
      <c r="A62" t="s">
        <v>63</v>
      </c>
      <c r="B62" t="s">
        <v>111</v>
      </c>
      <c r="C62" t="s">
        <v>112</v>
      </c>
      <c r="D62" t="s">
        <v>115</v>
      </c>
      <c r="E62" t="s">
        <v>113</v>
      </c>
      <c r="F62" t="s">
        <v>114</v>
      </c>
      <c r="G62">
        <f t="shared" si="1"/>
        <v>15</v>
      </c>
      <c r="H62">
        <f t="shared" si="2"/>
        <v>30</v>
      </c>
      <c r="I62">
        <f t="shared" si="3"/>
        <v>18</v>
      </c>
      <c r="J62">
        <f t="shared" si="4"/>
        <v>10</v>
      </c>
      <c r="K62">
        <f t="shared" si="5"/>
        <v>36</v>
      </c>
      <c r="L62">
        <f t="shared" si="6"/>
        <v>109</v>
      </c>
    </row>
    <row r="63" spans="1:12" x14ac:dyDescent="0.3">
      <c r="A63" t="s">
        <v>64</v>
      </c>
      <c r="B63" t="s">
        <v>115</v>
      </c>
      <c r="C63" t="s">
        <v>113</v>
      </c>
      <c r="D63" t="s">
        <v>114</v>
      </c>
      <c r="E63" t="s">
        <v>111</v>
      </c>
      <c r="F63" t="s">
        <v>112</v>
      </c>
      <c r="G63">
        <f t="shared" si="1"/>
        <v>18</v>
      </c>
      <c r="H63">
        <f t="shared" si="2"/>
        <v>10</v>
      </c>
      <c r="I63">
        <f t="shared" si="3"/>
        <v>36</v>
      </c>
      <c r="J63">
        <f t="shared" si="4"/>
        <v>15</v>
      </c>
      <c r="K63">
        <f t="shared" si="5"/>
        <v>30</v>
      </c>
      <c r="L63">
        <f t="shared" si="6"/>
        <v>109</v>
      </c>
    </row>
    <row r="64" spans="1:12" x14ac:dyDescent="0.3">
      <c r="A64" t="s">
        <v>65</v>
      </c>
      <c r="B64" t="s">
        <v>111</v>
      </c>
      <c r="C64" t="s">
        <v>112</v>
      </c>
      <c r="D64" t="s">
        <v>113</v>
      </c>
      <c r="E64" t="s">
        <v>115</v>
      </c>
      <c r="F64" t="s">
        <v>114</v>
      </c>
      <c r="G64">
        <f t="shared" si="1"/>
        <v>15</v>
      </c>
      <c r="H64">
        <f t="shared" si="2"/>
        <v>30</v>
      </c>
      <c r="I64">
        <f t="shared" si="3"/>
        <v>10</v>
      </c>
      <c r="J64">
        <f t="shared" si="4"/>
        <v>18</v>
      </c>
      <c r="K64">
        <f t="shared" si="5"/>
        <v>36</v>
      </c>
      <c r="L64">
        <f t="shared" si="6"/>
        <v>109</v>
      </c>
    </row>
    <row r="65" spans="1:12" x14ac:dyDescent="0.3">
      <c r="A65" t="s">
        <v>66</v>
      </c>
      <c r="B65" t="s">
        <v>112</v>
      </c>
      <c r="C65" t="s">
        <v>113</v>
      </c>
      <c r="D65" t="s">
        <v>115</v>
      </c>
      <c r="E65" t="s">
        <v>111</v>
      </c>
      <c r="F65" t="s">
        <v>114</v>
      </c>
      <c r="G65">
        <f t="shared" si="1"/>
        <v>30</v>
      </c>
      <c r="H65">
        <f t="shared" si="2"/>
        <v>10</v>
      </c>
      <c r="I65">
        <f t="shared" si="3"/>
        <v>18</v>
      </c>
      <c r="J65">
        <f t="shared" si="4"/>
        <v>15</v>
      </c>
      <c r="K65">
        <f t="shared" si="5"/>
        <v>36</v>
      </c>
      <c r="L65">
        <f t="shared" si="6"/>
        <v>109</v>
      </c>
    </row>
    <row r="66" spans="1:12" x14ac:dyDescent="0.3">
      <c r="A66" t="s">
        <v>67</v>
      </c>
      <c r="B66" t="s">
        <v>111</v>
      </c>
      <c r="C66" t="s">
        <v>113</v>
      </c>
      <c r="D66" t="s">
        <v>112</v>
      </c>
      <c r="E66" t="s">
        <v>115</v>
      </c>
      <c r="F66" t="s">
        <v>114</v>
      </c>
      <c r="G66">
        <f t="shared" si="1"/>
        <v>15</v>
      </c>
      <c r="H66">
        <f t="shared" si="2"/>
        <v>10</v>
      </c>
      <c r="I66">
        <f t="shared" si="3"/>
        <v>30</v>
      </c>
      <c r="J66">
        <f t="shared" si="4"/>
        <v>18</v>
      </c>
      <c r="K66">
        <f t="shared" si="5"/>
        <v>36</v>
      </c>
      <c r="L66">
        <f t="shared" si="6"/>
        <v>109</v>
      </c>
    </row>
    <row r="67" spans="1:12" x14ac:dyDescent="0.3">
      <c r="A67" t="s">
        <v>68</v>
      </c>
      <c r="B67" t="s">
        <v>111</v>
      </c>
      <c r="C67" t="s">
        <v>112</v>
      </c>
      <c r="D67" t="s">
        <v>113</v>
      </c>
      <c r="E67" t="s">
        <v>114</v>
      </c>
      <c r="F67" t="s">
        <v>115</v>
      </c>
      <c r="G67">
        <f t="shared" ref="G67:G101" si="7">INDEX($N$2:$O$6,MATCH(B67,$N$2:$N$6,0),2)</f>
        <v>15</v>
      </c>
      <c r="H67">
        <f t="shared" ref="H67:H101" si="8">INDEX($N$2:$O$6,MATCH(C67,$N$2:$N$6,0),2)</f>
        <v>30</v>
      </c>
      <c r="I67">
        <f t="shared" ref="I67:I101" si="9">INDEX($N$2:$O$6,MATCH(D67,$N$2:$N$6,0),2)</f>
        <v>10</v>
      </c>
      <c r="J67">
        <f t="shared" ref="J67:J101" si="10">INDEX($N$2:$O$6,MATCH(E67,$N$2:$N$6,0),2)</f>
        <v>36</v>
      </c>
      <c r="K67">
        <f t="shared" ref="K67:K101" si="11">INDEX($N$2:$O$6,MATCH(F67,$N$2:$N$6,0),2)</f>
        <v>18</v>
      </c>
      <c r="L67">
        <f t="shared" ref="L67:L101" si="12">SUM(G67:K67)</f>
        <v>109</v>
      </c>
    </row>
    <row r="68" spans="1:12" x14ac:dyDescent="0.3">
      <c r="A68" t="s">
        <v>69</v>
      </c>
      <c r="B68" t="s">
        <v>113</v>
      </c>
      <c r="C68" t="s">
        <v>115</v>
      </c>
      <c r="D68" t="s">
        <v>114</v>
      </c>
      <c r="E68" t="s">
        <v>111</v>
      </c>
      <c r="F68" t="s">
        <v>112</v>
      </c>
      <c r="G68">
        <f t="shared" si="7"/>
        <v>10</v>
      </c>
      <c r="H68">
        <f t="shared" si="8"/>
        <v>18</v>
      </c>
      <c r="I68">
        <f t="shared" si="9"/>
        <v>36</v>
      </c>
      <c r="J68">
        <f t="shared" si="10"/>
        <v>15</v>
      </c>
      <c r="K68">
        <f t="shared" si="11"/>
        <v>30</v>
      </c>
      <c r="L68">
        <f t="shared" si="12"/>
        <v>109</v>
      </c>
    </row>
    <row r="69" spans="1:12" x14ac:dyDescent="0.3">
      <c r="A69" t="s">
        <v>70</v>
      </c>
      <c r="B69" t="s">
        <v>114</v>
      </c>
      <c r="C69" t="s">
        <v>113</v>
      </c>
      <c r="D69" t="s">
        <v>111</v>
      </c>
      <c r="E69" t="s">
        <v>112</v>
      </c>
      <c r="F69" t="s">
        <v>115</v>
      </c>
      <c r="G69">
        <f t="shared" si="7"/>
        <v>36</v>
      </c>
      <c r="H69">
        <f t="shared" si="8"/>
        <v>10</v>
      </c>
      <c r="I69">
        <f t="shared" si="9"/>
        <v>15</v>
      </c>
      <c r="J69">
        <f t="shared" si="10"/>
        <v>30</v>
      </c>
      <c r="K69">
        <f t="shared" si="11"/>
        <v>18</v>
      </c>
      <c r="L69">
        <f t="shared" si="12"/>
        <v>109</v>
      </c>
    </row>
    <row r="70" spans="1:12" x14ac:dyDescent="0.3">
      <c r="A70" t="s">
        <v>71</v>
      </c>
      <c r="B70" t="s">
        <v>114</v>
      </c>
      <c r="C70" t="s">
        <v>112</v>
      </c>
      <c r="D70" t="s">
        <v>111</v>
      </c>
      <c r="E70" t="s">
        <v>115</v>
      </c>
      <c r="F70" t="s">
        <v>113</v>
      </c>
      <c r="G70">
        <f t="shared" si="7"/>
        <v>36</v>
      </c>
      <c r="H70">
        <f t="shared" si="8"/>
        <v>30</v>
      </c>
      <c r="I70">
        <f t="shared" si="9"/>
        <v>15</v>
      </c>
      <c r="J70">
        <f t="shared" si="10"/>
        <v>18</v>
      </c>
      <c r="K70">
        <f t="shared" si="11"/>
        <v>10</v>
      </c>
      <c r="L70">
        <f t="shared" si="12"/>
        <v>109</v>
      </c>
    </row>
    <row r="71" spans="1:12" x14ac:dyDescent="0.3">
      <c r="A71" t="s">
        <v>72</v>
      </c>
      <c r="B71" t="s">
        <v>111</v>
      </c>
      <c r="C71" t="s">
        <v>115</v>
      </c>
      <c r="D71" t="s">
        <v>112</v>
      </c>
      <c r="E71" t="s">
        <v>114</v>
      </c>
      <c r="F71" t="s">
        <v>113</v>
      </c>
      <c r="G71">
        <f t="shared" si="7"/>
        <v>15</v>
      </c>
      <c r="H71">
        <f t="shared" si="8"/>
        <v>18</v>
      </c>
      <c r="I71">
        <f t="shared" si="9"/>
        <v>30</v>
      </c>
      <c r="J71">
        <f t="shared" si="10"/>
        <v>36</v>
      </c>
      <c r="K71">
        <f t="shared" si="11"/>
        <v>10</v>
      </c>
      <c r="L71">
        <f t="shared" si="12"/>
        <v>109</v>
      </c>
    </row>
    <row r="72" spans="1:12" x14ac:dyDescent="0.3">
      <c r="A72" t="s">
        <v>73</v>
      </c>
      <c r="B72" t="s">
        <v>114</v>
      </c>
      <c r="C72" t="s">
        <v>115</v>
      </c>
      <c r="D72" t="s">
        <v>113</v>
      </c>
      <c r="E72" t="s">
        <v>111</v>
      </c>
      <c r="F72" t="s">
        <v>112</v>
      </c>
      <c r="G72">
        <f t="shared" si="7"/>
        <v>36</v>
      </c>
      <c r="H72">
        <f t="shared" si="8"/>
        <v>18</v>
      </c>
      <c r="I72">
        <f t="shared" si="9"/>
        <v>10</v>
      </c>
      <c r="J72">
        <f t="shared" si="10"/>
        <v>15</v>
      </c>
      <c r="K72">
        <f t="shared" si="11"/>
        <v>30</v>
      </c>
      <c r="L72">
        <f t="shared" si="12"/>
        <v>109</v>
      </c>
    </row>
    <row r="73" spans="1:12" x14ac:dyDescent="0.3">
      <c r="A73" t="s">
        <v>74</v>
      </c>
      <c r="B73" t="s">
        <v>114</v>
      </c>
      <c r="C73" t="s">
        <v>113</v>
      </c>
      <c r="D73" t="s">
        <v>111</v>
      </c>
      <c r="E73" t="s">
        <v>112</v>
      </c>
      <c r="F73" t="s">
        <v>115</v>
      </c>
      <c r="G73">
        <f t="shared" si="7"/>
        <v>36</v>
      </c>
      <c r="H73">
        <f t="shared" si="8"/>
        <v>10</v>
      </c>
      <c r="I73">
        <f t="shared" si="9"/>
        <v>15</v>
      </c>
      <c r="J73">
        <f t="shared" si="10"/>
        <v>30</v>
      </c>
      <c r="K73">
        <f t="shared" si="11"/>
        <v>18</v>
      </c>
      <c r="L73">
        <f t="shared" si="12"/>
        <v>109</v>
      </c>
    </row>
    <row r="74" spans="1:12" x14ac:dyDescent="0.3">
      <c r="A74" t="s">
        <v>75</v>
      </c>
      <c r="B74" t="s">
        <v>112</v>
      </c>
      <c r="C74" t="s">
        <v>113</v>
      </c>
      <c r="D74" t="s">
        <v>115</v>
      </c>
      <c r="E74" t="s">
        <v>111</v>
      </c>
      <c r="F74" t="s">
        <v>114</v>
      </c>
      <c r="G74">
        <f t="shared" si="7"/>
        <v>30</v>
      </c>
      <c r="H74">
        <f t="shared" si="8"/>
        <v>10</v>
      </c>
      <c r="I74">
        <f t="shared" si="9"/>
        <v>18</v>
      </c>
      <c r="J74">
        <f t="shared" si="10"/>
        <v>15</v>
      </c>
      <c r="K74">
        <f t="shared" si="11"/>
        <v>36</v>
      </c>
      <c r="L74">
        <f t="shared" si="12"/>
        <v>109</v>
      </c>
    </row>
    <row r="75" spans="1:12" x14ac:dyDescent="0.3">
      <c r="A75" t="s">
        <v>76</v>
      </c>
      <c r="B75" t="s">
        <v>114</v>
      </c>
      <c r="C75" t="s">
        <v>115</v>
      </c>
      <c r="D75" t="s">
        <v>111</v>
      </c>
      <c r="E75" t="s">
        <v>112</v>
      </c>
      <c r="F75" t="s">
        <v>113</v>
      </c>
      <c r="G75">
        <f t="shared" si="7"/>
        <v>36</v>
      </c>
      <c r="H75">
        <f t="shared" si="8"/>
        <v>18</v>
      </c>
      <c r="I75">
        <f t="shared" si="9"/>
        <v>15</v>
      </c>
      <c r="J75">
        <f t="shared" si="10"/>
        <v>30</v>
      </c>
      <c r="K75">
        <f t="shared" si="11"/>
        <v>10</v>
      </c>
      <c r="L75">
        <f t="shared" si="12"/>
        <v>109</v>
      </c>
    </row>
    <row r="76" spans="1:12" x14ac:dyDescent="0.3">
      <c r="A76" t="s">
        <v>77</v>
      </c>
      <c r="B76" t="s">
        <v>112</v>
      </c>
      <c r="C76" t="s">
        <v>111</v>
      </c>
      <c r="D76" t="s">
        <v>115</v>
      </c>
      <c r="E76" t="s">
        <v>114</v>
      </c>
      <c r="F76" t="s">
        <v>113</v>
      </c>
      <c r="G76">
        <f t="shared" si="7"/>
        <v>30</v>
      </c>
      <c r="H76">
        <f t="shared" si="8"/>
        <v>15</v>
      </c>
      <c r="I76">
        <f t="shared" si="9"/>
        <v>18</v>
      </c>
      <c r="J76">
        <f t="shared" si="10"/>
        <v>36</v>
      </c>
      <c r="K76">
        <f t="shared" si="11"/>
        <v>10</v>
      </c>
      <c r="L76">
        <f t="shared" si="12"/>
        <v>109</v>
      </c>
    </row>
    <row r="77" spans="1:12" x14ac:dyDescent="0.3">
      <c r="A77" t="s">
        <v>78</v>
      </c>
      <c r="B77" t="s">
        <v>111</v>
      </c>
      <c r="C77" t="s">
        <v>112</v>
      </c>
      <c r="D77" t="s">
        <v>113</v>
      </c>
      <c r="E77" t="s">
        <v>115</v>
      </c>
      <c r="F77" t="s">
        <v>114</v>
      </c>
      <c r="G77">
        <f t="shared" si="7"/>
        <v>15</v>
      </c>
      <c r="H77">
        <f t="shared" si="8"/>
        <v>30</v>
      </c>
      <c r="I77">
        <f t="shared" si="9"/>
        <v>10</v>
      </c>
      <c r="J77">
        <f t="shared" si="10"/>
        <v>18</v>
      </c>
      <c r="K77">
        <f t="shared" si="11"/>
        <v>36</v>
      </c>
      <c r="L77">
        <f t="shared" si="12"/>
        <v>109</v>
      </c>
    </row>
    <row r="78" spans="1:12" x14ac:dyDescent="0.3">
      <c r="A78" t="s">
        <v>79</v>
      </c>
      <c r="B78" t="s">
        <v>114</v>
      </c>
      <c r="C78" t="s">
        <v>115</v>
      </c>
      <c r="D78" t="s">
        <v>113</v>
      </c>
      <c r="E78" t="s">
        <v>112</v>
      </c>
      <c r="F78" t="s">
        <v>111</v>
      </c>
      <c r="G78">
        <f t="shared" si="7"/>
        <v>36</v>
      </c>
      <c r="H78">
        <f t="shared" si="8"/>
        <v>18</v>
      </c>
      <c r="I78">
        <f t="shared" si="9"/>
        <v>10</v>
      </c>
      <c r="J78">
        <f t="shared" si="10"/>
        <v>30</v>
      </c>
      <c r="K78">
        <f t="shared" si="11"/>
        <v>15</v>
      </c>
      <c r="L78">
        <f t="shared" si="12"/>
        <v>109</v>
      </c>
    </row>
    <row r="79" spans="1:12" x14ac:dyDescent="0.3">
      <c r="A79" t="s">
        <v>80</v>
      </c>
      <c r="B79" t="s">
        <v>111</v>
      </c>
      <c r="C79" t="s">
        <v>113</v>
      </c>
      <c r="D79" t="s">
        <v>112</v>
      </c>
      <c r="E79" t="s">
        <v>114</v>
      </c>
      <c r="F79" t="s">
        <v>115</v>
      </c>
      <c r="G79">
        <f t="shared" si="7"/>
        <v>15</v>
      </c>
      <c r="H79">
        <f t="shared" si="8"/>
        <v>10</v>
      </c>
      <c r="I79">
        <f t="shared" si="9"/>
        <v>30</v>
      </c>
      <c r="J79">
        <f t="shared" si="10"/>
        <v>36</v>
      </c>
      <c r="K79">
        <f t="shared" si="11"/>
        <v>18</v>
      </c>
      <c r="L79">
        <f t="shared" si="12"/>
        <v>109</v>
      </c>
    </row>
    <row r="80" spans="1:12" x14ac:dyDescent="0.3">
      <c r="A80" t="s">
        <v>81</v>
      </c>
      <c r="B80" t="s">
        <v>113</v>
      </c>
      <c r="C80" t="s">
        <v>115</v>
      </c>
      <c r="D80" t="s">
        <v>114</v>
      </c>
      <c r="E80" t="s">
        <v>111</v>
      </c>
      <c r="F80" t="s">
        <v>112</v>
      </c>
      <c r="G80">
        <f t="shared" si="7"/>
        <v>10</v>
      </c>
      <c r="H80">
        <f t="shared" si="8"/>
        <v>18</v>
      </c>
      <c r="I80">
        <f t="shared" si="9"/>
        <v>36</v>
      </c>
      <c r="J80">
        <f t="shared" si="10"/>
        <v>15</v>
      </c>
      <c r="K80">
        <f t="shared" si="11"/>
        <v>30</v>
      </c>
      <c r="L80">
        <f t="shared" si="12"/>
        <v>109</v>
      </c>
    </row>
    <row r="81" spans="1:12" x14ac:dyDescent="0.3">
      <c r="A81" t="s">
        <v>82</v>
      </c>
      <c r="B81" t="s">
        <v>112</v>
      </c>
      <c r="C81" t="s">
        <v>115</v>
      </c>
      <c r="D81" t="s">
        <v>113</v>
      </c>
      <c r="E81" t="s">
        <v>114</v>
      </c>
      <c r="F81" t="s">
        <v>111</v>
      </c>
      <c r="G81">
        <f t="shared" si="7"/>
        <v>30</v>
      </c>
      <c r="H81">
        <f t="shared" si="8"/>
        <v>18</v>
      </c>
      <c r="I81">
        <f t="shared" si="9"/>
        <v>10</v>
      </c>
      <c r="J81">
        <f t="shared" si="10"/>
        <v>36</v>
      </c>
      <c r="K81">
        <f t="shared" si="11"/>
        <v>15</v>
      </c>
      <c r="L81">
        <f t="shared" si="12"/>
        <v>109</v>
      </c>
    </row>
    <row r="82" spans="1:12" x14ac:dyDescent="0.3">
      <c r="A82" t="s">
        <v>83</v>
      </c>
      <c r="B82" t="s">
        <v>112</v>
      </c>
      <c r="C82" t="s">
        <v>113</v>
      </c>
      <c r="D82" t="s">
        <v>114</v>
      </c>
      <c r="E82" t="s">
        <v>115</v>
      </c>
      <c r="F82" t="s">
        <v>111</v>
      </c>
      <c r="G82">
        <f t="shared" si="7"/>
        <v>30</v>
      </c>
      <c r="H82">
        <f t="shared" si="8"/>
        <v>10</v>
      </c>
      <c r="I82">
        <f t="shared" si="9"/>
        <v>36</v>
      </c>
      <c r="J82">
        <f t="shared" si="10"/>
        <v>18</v>
      </c>
      <c r="K82">
        <f t="shared" si="11"/>
        <v>15</v>
      </c>
      <c r="L82">
        <f t="shared" si="12"/>
        <v>109</v>
      </c>
    </row>
    <row r="83" spans="1:12" x14ac:dyDescent="0.3">
      <c r="A83" t="s">
        <v>84</v>
      </c>
      <c r="B83" t="s">
        <v>114</v>
      </c>
      <c r="C83" t="s">
        <v>115</v>
      </c>
      <c r="D83" t="s">
        <v>111</v>
      </c>
      <c r="E83" t="s">
        <v>112</v>
      </c>
      <c r="F83" t="s">
        <v>113</v>
      </c>
      <c r="G83">
        <f t="shared" si="7"/>
        <v>36</v>
      </c>
      <c r="H83">
        <f t="shared" si="8"/>
        <v>18</v>
      </c>
      <c r="I83">
        <f t="shared" si="9"/>
        <v>15</v>
      </c>
      <c r="J83">
        <f t="shared" si="10"/>
        <v>30</v>
      </c>
      <c r="K83">
        <f t="shared" si="11"/>
        <v>10</v>
      </c>
      <c r="L83">
        <f t="shared" si="12"/>
        <v>109</v>
      </c>
    </row>
    <row r="84" spans="1:12" x14ac:dyDescent="0.3">
      <c r="A84" t="s">
        <v>85</v>
      </c>
      <c r="B84" t="s">
        <v>114</v>
      </c>
      <c r="C84" t="s">
        <v>115</v>
      </c>
      <c r="D84" t="s">
        <v>113</v>
      </c>
      <c r="E84" t="s">
        <v>111</v>
      </c>
      <c r="F84" t="s">
        <v>112</v>
      </c>
      <c r="G84">
        <f t="shared" si="7"/>
        <v>36</v>
      </c>
      <c r="H84">
        <f t="shared" si="8"/>
        <v>18</v>
      </c>
      <c r="I84">
        <f t="shared" si="9"/>
        <v>10</v>
      </c>
      <c r="J84">
        <f t="shared" si="10"/>
        <v>15</v>
      </c>
      <c r="K84">
        <f t="shared" si="11"/>
        <v>30</v>
      </c>
      <c r="L84">
        <f t="shared" si="12"/>
        <v>109</v>
      </c>
    </row>
    <row r="85" spans="1:12" x14ac:dyDescent="0.3">
      <c r="A85" t="s">
        <v>86</v>
      </c>
      <c r="B85" t="s">
        <v>115</v>
      </c>
      <c r="C85" t="s">
        <v>111</v>
      </c>
      <c r="D85" t="s">
        <v>114</v>
      </c>
      <c r="E85" t="s">
        <v>112</v>
      </c>
      <c r="F85" t="s">
        <v>113</v>
      </c>
      <c r="G85">
        <f t="shared" si="7"/>
        <v>18</v>
      </c>
      <c r="H85">
        <f t="shared" si="8"/>
        <v>15</v>
      </c>
      <c r="I85">
        <f t="shared" si="9"/>
        <v>36</v>
      </c>
      <c r="J85">
        <f t="shared" si="10"/>
        <v>30</v>
      </c>
      <c r="K85">
        <f t="shared" si="11"/>
        <v>10</v>
      </c>
      <c r="L85">
        <f t="shared" si="12"/>
        <v>109</v>
      </c>
    </row>
    <row r="86" spans="1:12" x14ac:dyDescent="0.3">
      <c r="A86" t="s">
        <v>87</v>
      </c>
      <c r="B86" t="s">
        <v>112</v>
      </c>
      <c r="C86" t="s">
        <v>111</v>
      </c>
      <c r="D86" t="s">
        <v>114</v>
      </c>
      <c r="E86" t="s">
        <v>113</v>
      </c>
      <c r="F86" t="s">
        <v>115</v>
      </c>
      <c r="G86">
        <f t="shared" si="7"/>
        <v>30</v>
      </c>
      <c r="H86">
        <f t="shared" si="8"/>
        <v>15</v>
      </c>
      <c r="I86">
        <f t="shared" si="9"/>
        <v>36</v>
      </c>
      <c r="J86">
        <f t="shared" si="10"/>
        <v>10</v>
      </c>
      <c r="K86">
        <f t="shared" si="11"/>
        <v>18</v>
      </c>
      <c r="L86">
        <f t="shared" si="12"/>
        <v>109</v>
      </c>
    </row>
    <row r="87" spans="1:12" x14ac:dyDescent="0.3">
      <c r="A87" t="s">
        <v>88</v>
      </c>
      <c r="B87" t="s">
        <v>112</v>
      </c>
      <c r="C87" t="s">
        <v>111</v>
      </c>
      <c r="D87" t="s">
        <v>113</v>
      </c>
      <c r="E87" t="s">
        <v>115</v>
      </c>
      <c r="F87" t="s">
        <v>114</v>
      </c>
      <c r="G87">
        <f t="shared" si="7"/>
        <v>30</v>
      </c>
      <c r="H87">
        <f t="shared" si="8"/>
        <v>15</v>
      </c>
      <c r="I87">
        <f t="shared" si="9"/>
        <v>10</v>
      </c>
      <c r="J87">
        <f t="shared" si="10"/>
        <v>18</v>
      </c>
      <c r="K87">
        <f t="shared" si="11"/>
        <v>36</v>
      </c>
      <c r="L87">
        <f t="shared" si="12"/>
        <v>109</v>
      </c>
    </row>
    <row r="88" spans="1:12" x14ac:dyDescent="0.3">
      <c r="A88" t="s">
        <v>89</v>
      </c>
      <c r="B88" t="s">
        <v>114</v>
      </c>
      <c r="C88" t="s">
        <v>111</v>
      </c>
      <c r="D88" t="s">
        <v>115</v>
      </c>
      <c r="E88" t="s">
        <v>112</v>
      </c>
      <c r="F88" t="s">
        <v>113</v>
      </c>
      <c r="G88">
        <f t="shared" si="7"/>
        <v>36</v>
      </c>
      <c r="H88">
        <f t="shared" si="8"/>
        <v>15</v>
      </c>
      <c r="I88">
        <f t="shared" si="9"/>
        <v>18</v>
      </c>
      <c r="J88">
        <f t="shared" si="10"/>
        <v>30</v>
      </c>
      <c r="K88">
        <f t="shared" si="11"/>
        <v>10</v>
      </c>
      <c r="L88">
        <f t="shared" si="12"/>
        <v>109</v>
      </c>
    </row>
    <row r="89" spans="1:12" x14ac:dyDescent="0.3">
      <c r="A89" t="s">
        <v>90</v>
      </c>
      <c r="B89" t="s">
        <v>115</v>
      </c>
      <c r="C89" t="s">
        <v>112</v>
      </c>
      <c r="D89" t="s">
        <v>111</v>
      </c>
      <c r="E89" t="s">
        <v>113</v>
      </c>
      <c r="F89" t="s">
        <v>114</v>
      </c>
      <c r="G89">
        <f t="shared" si="7"/>
        <v>18</v>
      </c>
      <c r="H89">
        <f t="shared" si="8"/>
        <v>30</v>
      </c>
      <c r="I89">
        <f t="shared" si="9"/>
        <v>15</v>
      </c>
      <c r="J89">
        <f t="shared" si="10"/>
        <v>10</v>
      </c>
      <c r="K89">
        <f t="shared" si="11"/>
        <v>36</v>
      </c>
      <c r="L89">
        <f t="shared" si="12"/>
        <v>109</v>
      </c>
    </row>
    <row r="90" spans="1:12" x14ac:dyDescent="0.3">
      <c r="A90" t="s">
        <v>91</v>
      </c>
      <c r="B90" t="s">
        <v>114</v>
      </c>
      <c r="C90" t="s">
        <v>113</v>
      </c>
      <c r="D90" t="s">
        <v>115</v>
      </c>
      <c r="E90" t="s">
        <v>112</v>
      </c>
      <c r="F90" t="s">
        <v>111</v>
      </c>
      <c r="G90">
        <f t="shared" si="7"/>
        <v>36</v>
      </c>
      <c r="H90">
        <f t="shared" si="8"/>
        <v>10</v>
      </c>
      <c r="I90">
        <f t="shared" si="9"/>
        <v>18</v>
      </c>
      <c r="J90">
        <f t="shared" si="10"/>
        <v>30</v>
      </c>
      <c r="K90">
        <f t="shared" si="11"/>
        <v>15</v>
      </c>
      <c r="L90">
        <f t="shared" si="12"/>
        <v>109</v>
      </c>
    </row>
    <row r="91" spans="1:12" x14ac:dyDescent="0.3">
      <c r="A91" t="s">
        <v>92</v>
      </c>
      <c r="B91" t="s">
        <v>112</v>
      </c>
      <c r="C91" t="s">
        <v>113</v>
      </c>
      <c r="D91" t="s">
        <v>111</v>
      </c>
      <c r="E91" t="s">
        <v>115</v>
      </c>
      <c r="F91" t="s">
        <v>114</v>
      </c>
      <c r="G91">
        <f t="shared" si="7"/>
        <v>30</v>
      </c>
      <c r="H91">
        <f t="shared" si="8"/>
        <v>10</v>
      </c>
      <c r="I91">
        <f t="shared" si="9"/>
        <v>15</v>
      </c>
      <c r="J91">
        <f t="shared" si="10"/>
        <v>18</v>
      </c>
      <c r="K91">
        <f t="shared" si="11"/>
        <v>36</v>
      </c>
      <c r="L91">
        <f t="shared" si="12"/>
        <v>109</v>
      </c>
    </row>
    <row r="92" spans="1:12" x14ac:dyDescent="0.3">
      <c r="A92" t="s">
        <v>93</v>
      </c>
      <c r="B92" t="s">
        <v>115</v>
      </c>
      <c r="C92" t="s">
        <v>112</v>
      </c>
      <c r="D92" t="s">
        <v>114</v>
      </c>
      <c r="E92" t="s">
        <v>111</v>
      </c>
      <c r="F92" t="s">
        <v>113</v>
      </c>
      <c r="G92">
        <f t="shared" si="7"/>
        <v>18</v>
      </c>
      <c r="H92">
        <f t="shared" si="8"/>
        <v>30</v>
      </c>
      <c r="I92">
        <f t="shared" si="9"/>
        <v>36</v>
      </c>
      <c r="J92">
        <f t="shared" si="10"/>
        <v>15</v>
      </c>
      <c r="K92">
        <f t="shared" si="11"/>
        <v>10</v>
      </c>
      <c r="L92">
        <f t="shared" si="12"/>
        <v>109</v>
      </c>
    </row>
    <row r="93" spans="1:12" x14ac:dyDescent="0.3">
      <c r="A93" t="s">
        <v>94</v>
      </c>
      <c r="B93" t="s">
        <v>111</v>
      </c>
      <c r="C93" t="s">
        <v>115</v>
      </c>
      <c r="D93" t="s">
        <v>113</v>
      </c>
      <c r="E93" t="s">
        <v>114</v>
      </c>
      <c r="F93" t="s">
        <v>112</v>
      </c>
      <c r="G93">
        <f t="shared" si="7"/>
        <v>15</v>
      </c>
      <c r="H93">
        <f t="shared" si="8"/>
        <v>18</v>
      </c>
      <c r="I93">
        <f t="shared" si="9"/>
        <v>10</v>
      </c>
      <c r="J93">
        <f t="shared" si="10"/>
        <v>36</v>
      </c>
      <c r="K93">
        <f t="shared" si="11"/>
        <v>30</v>
      </c>
      <c r="L93">
        <f t="shared" si="12"/>
        <v>109</v>
      </c>
    </row>
    <row r="94" spans="1:12" x14ac:dyDescent="0.3">
      <c r="A94" t="s">
        <v>95</v>
      </c>
      <c r="B94" t="s">
        <v>111</v>
      </c>
      <c r="C94" t="s">
        <v>112</v>
      </c>
      <c r="D94" t="s">
        <v>113</v>
      </c>
      <c r="E94" t="s">
        <v>114</v>
      </c>
      <c r="F94" t="s">
        <v>115</v>
      </c>
      <c r="G94">
        <f t="shared" si="7"/>
        <v>15</v>
      </c>
      <c r="H94">
        <f t="shared" si="8"/>
        <v>30</v>
      </c>
      <c r="I94">
        <f t="shared" si="9"/>
        <v>10</v>
      </c>
      <c r="J94">
        <f t="shared" si="10"/>
        <v>36</v>
      </c>
      <c r="K94">
        <f t="shared" si="11"/>
        <v>18</v>
      </c>
      <c r="L94">
        <f t="shared" si="12"/>
        <v>109</v>
      </c>
    </row>
    <row r="95" spans="1:12" x14ac:dyDescent="0.3">
      <c r="A95" t="s">
        <v>96</v>
      </c>
      <c r="B95" t="s">
        <v>115</v>
      </c>
      <c r="C95" t="s">
        <v>112</v>
      </c>
      <c r="D95" t="s">
        <v>113</v>
      </c>
      <c r="E95" t="s">
        <v>111</v>
      </c>
      <c r="F95" t="s">
        <v>114</v>
      </c>
      <c r="G95">
        <f t="shared" si="7"/>
        <v>18</v>
      </c>
      <c r="H95">
        <f t="shared" si="8"/>
        <v>30</v>
      </c>
      <c r="I95">
        <f t="shared" si="9"/>
        <v>10</v>
      </c>
      <c r="J95">
        <f t="shared" si="10"/>
        <v>15</v>
      </c>
      <c r="K95">
        <f t="shared" si="11"/>
        <v>36</v>
      </c>
      <c r="L95">
        <f t="shared" si="12"/>
        <v>109</v>
      </c>
    </row>
    <row r="96" spans="1:12" x14ac:dyDescent="0.3">
      <c r="A96" t="s">
        <v>97</v>
      </c>
      <c r="B96" t="s">
        <v>112</v>
      </c>
      <c r="C96" t="s">
        <v>114</v>
      </c>
      <c r="D96" t="s">
        <v>111</v>
      </c>
      <c r="E96" t="s">
        <v>113</v>
      </c>
      <c r="F96" t="s">
        <v>115</v>
      </c>
      <c r="G96">
        <f t="shared" si="7"/>
        <v>30</v>
      </c>
      <c r="H96">
        <f t="shared" si="8"/>
        <v>36</v>
      </c>
      <c r="I96">
        <f t="shared" si="9"/>
        <v>15</v>
      </c>
      <c r="J96">
        <f t="shared" si="10"/>
        <v>10</v>
      </c>
      <c r="K96">
        <f t="shared" si="11"/>
        <v>18</v>
      </c>
      <c r="L96">
        <f t="shared" si="12"/>
        <v>109</v>
      </c>
    </row>
    <row r="97" spans="1:12" x14ac:dyDescent="0.3">
      <c r="A97" t="s">
        <v>98</v>
      </c>
      <c r="B97" t="s">
        <v>112</v>
      </c>
      <c r="C97" t="s">
        <v>115</v>
      </c>
      <c r="D97" t="s">
        <v>113</v>
      </c>
      <c r="E97" t="s">
        <v>114</v>
      </c>
      <c r="F97" t="s">
        <v>111</v>
      </c>
      <c r="G97">
        <f t="shared" si="7"/>
        <v>30</v>
      </c>
      <c r="H97">
        <f t="shared" si="8"/>
        <v>18</v>
      </c>
      <c r="I97">
        <f t="shared" si="9"/>
        <v>10</v>
      </c>
      <c r="J97">
        <f t="shared" si="10"/>
        <v>36</v>
      </c>
      <c r="K97">
        <f t="shared" si="11"/>
        <v>15</v>
      </c>
      <c r="L97">
        <f t="shared" si="12"/>
        <v>109</v>
      </c>
    </row>
    <row r="98" spans="1:12" x14ac:dyDescent="0.3">
      <c r="A98" t="s">
        <v>99</v>
      </c>
      <c r="B98" t="s">
        <v>112</v>
      </c>
      <c r="C98" t="s">
        <v>113</v>
      </c>
      <c r="D98" t="s">
        <v>111</v>
      </c>
      <c r="E98" t="s">
        <v>114</v>
      </c>
      <c r="F98" t="s">
        <v>115</v>
      </c>
      <c r="G98">
        <f t="shared" si="7"/>
        <v>30</v>
      </c>
      <c r="H98">
        <f t="shared" si="8"/>
        <v>10</v>
      </c>
      <c r="I98">
        <f t="shared" si="9"/>
        <v>15</v>
      </c>
      <c r="J98">
        <f t="shared" si="10"/>
        <v>36</v>
      </c>
      <c r="K98">
        <f t="shared" si="11"/>
        <v>18</v>
      </c>
      <c r="L98">
        <f t="shared" si="12"/>
        <v>109</v>
      </c>
    </row>
    <row r="99" spans="1:12" x14ac:dyDescent="0.3">
      <c r="A99" t="s">
        <v>100</v>
      </c>
      <c r="B99" t="s">
        <v>114</v>
      </c>
      <c r="C99" t="s">
        <v>113</v>
      </c>
      <c r="D99" t="s">
        <v>112</v>
      </c>
      <c r="E99" t="s">
        <v>115</v>
      </c>
      <c r="F99" t="s">
        <v>111</v>
      </c>
      <c r="G99">
        <f t="shared" si="7"/>
        <v>36</v>
      </c>
      <c r="H99">
        <f t="shared" si="8"/>
        <v>10</v>
      </c>
      <c r="I99">
        <f t="shared" si="9"/>
        <v>30</v>
      </c>
      <c r="J99">
        <f t="shared" si="10"/>
        <v>18</v>
      </c>
      <c r="K99">
        <f t="shared" si="11"/>
        <v>15</v>
      </c>
      <c r="L99">
        <f t="shared" si="12"/>
        <v>109</v>
      </c>
    </row>
    <row r="100" spans="1:12" x14ac:dyDescent="0.3">
      <c r="A100" t="s">
        <v>101</v>
      </c>
      <c r="B100" t="s">
        <v>112</v>
      </c>
      <c r="C100" t="s">
        <v>115</v>
      </c>
      <c r="D100" t="s">
        <v>114</v>
      </c>
      <c r="E100" t="s">
        <v>111</v>
      </c>
      <c r="F100" t="s">
        <v>113</v>
      </c>
      <c r="G100">
        <f t="shared" si="7"/>
        <v>30</v>
      </c>
      <c r="H100">
        <f t="shared" si="8"/>
        <v>18</v>
      </c>
      <c r="I100">
        <f t="shared" si="9"/>
        <v>36</v>
      </c>
      <c r="J100">
        <f t="shared" si="10"/>
        <v>15</v>
      </c>
      <c r="K100">
        <f t="shared" si="11"/>
        <v>10</v>
      </c>
      <c r="L100">
        <f t="shared" si="12"/>
        <v>109</v>
      </c>
    </row>
    <row r="101" spans="1:12" x14ac:dyDescent="0.3">
      <c r="A101" t="s">
        <v>102</v>
      </c>
      <c r="B101" t="s">
        <v>114</v>
      </c>
      <c r="C101" t="s">
        <v>115</v>
      </c>
      <c r="D101" t="s">
        <v>113</v>
      </c>
      <c r="E101" t="s">
        <v>112</v>
      </c>
      <c r="F101" t="s">
        <v>111</v>
      </c>
      <c r="G101">
        <f t="shared" si="7"/>
        <v>36</v>
      </c>
      <c r="H101">
        <f t="shared" si="8"/>
        <v>18</v>
      </c>
      <c r="I101">
        <f t="shared" si="9"/>
        <v>10</v>
      </c>
      <c r="J101">
        <f t="shared" si="10"/>
        <v>30</v>
      </c>
      <c r="K101">
        <f t="shared" si="11"/>
        <v>15</v>
      </c>
      <c r="L101">
        <f t="shared" si="12"/>
        <v>109</v>
      </c>
    </row>
    <row r="102" spans="1:12" x14ac:dyDescent="0.3">
      <c r="A102" t="s">
        <v>111</v>
      </c>
      <c r="B102">
        <f>COUNTIF(B$2:B$101,$N2)</f>
        <v>23</v>
      </c>
      <c r="C102">
        <f t="shared" ref="C102:F102" si="13">COUNTIF(C$2:C$101,$N2)</f>
        <v>19</v>
      </c>
      <c r="D102">
        <f t="shared" si="13"/>
        <v>21</v>
      </c>
      <c r="E102">
        <f t="shared" si="13"/>
        <v>20</v>
      </c>
      <c r="F102">
        <f t="shared" si="13"/>
        <v>17</v>
      </c>
      <c r="G102">
        <f>MAX(B102:F102)-MIN(B102:F102)</f>
        <v>6</v>
      </c>
    </row>
    <row r="103" spans="1:12" x14ac:dyDescent="0.3">
      <c r="A103" s="10" t="s">
        <v>112</v>
      </c>
      <c r="B103">
        <f t="shared" ref="B103:F106" si="14">COUNTIF(B$2:B$101,$N3)</f>
        <v>20</v>
      </c>
      <c r="C103">
        <f t="shared" si="14"/>
        <v>15</v>
      </c>
      <c r="D103">
        <f t="shared" si="14"/>
        <v>17</v>
      </c>
      <c r="E103">
        <f t="shared" si="14"/>
        <v>30</v>
      </c>
      <c r="F103">
        <f t="shared" si="14"/>
        <v>18</v>
      </c>
      <c r="G103" s="10">
        <f t="shared" ref="G103:G106" si="15">MAX(B103:F103)-MIN(B103:F103)</f>
        <v>15</v>
      </c>
      <c r="L103">
        <f>+SUM(L2:L101)</f>
        <v>10900</v>
      </c>
    </row>
    <row r="104" spans="1:12" x14ac:dyDescent="0.3">
      <c r="A104" s="10" t="s">
        <v>113</v>
      </c>
      <c r="B104">
        <f t="shared" si="14"/>
        <v>16</v>
      </c>
      <c r="C104">
        <f t="shared" si="14"/>
        <v>28</v>
      </c>
      <c r="D104">
        <f t="shared" si="14"/>
        <v>24</v>
      </c>
      <c r="E104">
        <f t="shared" si="14"/>
        <v>11</v>
      </c>
      <c r="F104">
        <f t="shared" si="14"/>
        <v>21</v>
      </c>
      <c r="G104" s="10">
        <f t="shared" si="15"/>
        <v>17</v>
      </c>
      <c r="L104">
        <f>+L103/60</f>
        <v>181.66666666666666</v>
      </c>
    </row>
    <row r="105" spans="1:12" x14ac:dyDescent="0.3">
      <c r="A105" s="10" t="s">
        <v>114</v>
      </c>
      <c r="B105">
        <f t="shared" si="14"/>
        <v>25</v>
      </c>
      <c r="C105">
        <f t="shared" si="14"/>
        <v>13</v>
      </c>
      <c r="D105">
        <f t="shared" si="14"/>
        <v>21</v>
      </c>
      <c r="E105">
        <f t="shared" si="14"/>
        <v>16</v>
      </c>
      <c r="F105">
        <f t="shared" si="14"/>
        <v>25</v>
      </c>
      <c r="G105" s="10">
        <f t="shared" si="15"/>
        <v>12</v>
      </c>
    </row>
    <row r="106" spans="1:12" x14ac:dyDescent="0.3">
      <c r="A106" t="s">
        <v>115</v>
      </c>
      <c r="B106">
        <f t="shared" si="14"/>
        <v>16</v>
      </c>
      <c r="C106">
        <f t="shared" si="14"/>
        <v>25</v>
      </c>
      <c r="D106">
        <f t="shared" si="14"/>
        <v>17</v>
      </c>
      <c r="E106">
        <f t="shared" si="14"/>
        <v>23</v>
      </c>
      <c r="F106">
        <f t="shared" si="14"/>
        <v>19</v>
      </c>
      <c r="G106">
        <f t="shared" si="15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Pacientes</vt:lpstr>
      <vt:lpstr>eco capital</vt:lpstr>
      <vt:lpstr>deposito central</vt:lpstr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Vega</dc:creator>
  <cp:lastModifiedBy>Jose Vega</cp:lastModifiedBy>
  <dcterms:created xsi:type="dcterms:W3CDTF">2022-02-26T15:09:04Z</dcterms:created>
  <dcterms:modified xsi:type="dcterms:W3CDTF">2022-04-30T00:45:06Z</dcterms:modified>
</cp:coreProperties>
</file>